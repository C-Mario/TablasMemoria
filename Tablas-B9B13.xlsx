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fca\Downloads\"/>
    </mc:Choice>
  </mc:AlternateContent>
  <xr:revisionPtr revIDLastSave="0" documentId="8_{1DFFE525-6EC0-4543-9BA3-0383D5500EEE}" xr6:coauthVersionLast="47" xr6:coauthVersionMax="47" xr10:uidLastSave="{00000000-0000-0000-0000-000000000000}"/>
  <bookViews>
    <workbookView xWindow="-120" yWindow="-120" windowWidth="29040" windowHeight="15720" xr2:uid="{94671D25-0429-4758-A692-C5714B4AB4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  <c r="H72" i="1"/>
  <c r="G72" i="1"/>
  <c r="F72" i="1"/>
  <c r="E72" i="1"/>
  <c r="I53" i="1"/>
  <c r="H53" i="1"/>
  <c r="G53" i="1"/>
  <c r="F53" i="1"/>
  <c r="E53" i="1"/>
  <c r="I39" i="1"/>
  <c r="H39" i="1"/>
  <c r="G39" i="1"/>
  <c r="F39" i="1"/>
  <c r="E39" i="1"/>
  <c r="I15" i="1"/>
  <c r="H15" i="1"/>
  <c r="G15" i="1"/>
  <c r="F15" i="1"/>
  <c r="E15" i="1"/>
</calcChain>
</file>

<file path=xl/sharedStrings.xml><?xml version="1.0" encoding="utf-8"?>
<sst xmlns="http://schemas.openxmlformats.org/spreadsheetml/2006/main" count="141" uniqueCount="32">
  <si>
    <t>Tabla B9</t>
  </si>
  <si>
    <t>Código cuenta</t>
  </si>
  <si>
    <t>Cuenta / Mayor</t>
  </si>
  <si>
    <t>Código</t>
  </si>
  <si>
    <t>Sede</t>
  </si>
  <si>
    <t xml:space="preserve">BENEFICIOS A LOS EMPLEADOS </t>
  </si>
  <si>
    <t>FONDO PENSIONAL</t>
  </si>
  <si>
    <t>TUMACO</t>
  </si>
  <si>
    <t>NIVEL NACIONAL</t>
  </si>
  <si>
    <t xml:space="preserve"> SEDE LA PAZ</t>
  </si>
  <si>
    <t>SEDE BOGOTA</t>
  </si>
  <si>
    <t>SEDE MEDELLIN</t>
  </si>
  <si>
    <t>SEDE MANIZALES</t>
  </si>
  <si>
    <t>SEDE PALMIRA</t>
  </si>
  <si>
    <t>SEDE AMAZONIA</t>
  </si>
  <si>
    <t>SEDE ORINOQUIA</t>
  </si>
  <si>
    <t>SEDE CARIBE</t>
  </si>
  <si>
    <t>UNIMEDIOS</t>
  </si>
  <si>
    <t>Total UN</t>
  </si>
  <si>
    <t>Tabla B10</t>
  </si>
  <si>
    <t>PRÉSTAMOS POR PAGAR</t>
  </si>
  <si>
    <t>Tabla B11</t>
  </si>
  <si>
    <t>CUENTAS POR PAGAR</t>
  </si>
  <si>
    <t>EDITORIAL</t>
  </si>
  <si>
    <t>SEDE TUMACO</t>
  </si>
  <si>
    <t>SISTEMA GENERAL DE REGALIAS</t>
  </si>
  <si>
    <t>SEDE LA PAZ</t>
  </si>
  <si>
    <t>UNISALUD</t>
  </si>
  <si>
    <t>Tabla B12</t>
  </si>
  <si>
    <t>PROVISIONES</t>
  </si>
  <si>
    <t>Tabla B13</t>
  </si>
  <si>
    <t>OTROS PASIVOS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</si>
</sst>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-[$$-240A]\ * #,##0.00_-;\-[$$-240A]\ * #,##0.00_-;_-[$$-240A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2" fillId="0" borderId="0" xfId="0" applyFont="1"/>
    <xf numFmtId="166" fontId="0" fillId="0" borderId="0" xfId="1" applyNumberFormat="1" applyFont="1"/>
    <xf numFmtId="166" fontId="0" fillId="2" borderId="0" xfId="1" applyNumberFormat="1" applyFont="1" applyFill="1"/>
    <xf numFmtId="166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658B-596A-4670-B6AA-0ED678307F9B}">
  <dimension ref="A1:I72"/>
  <sheetViews>
    <sheetView tabSelected="1" workbookViewId="0">
      <selection activeCell="K65" sqref="K65"/>
    </sheetView>
  </sheetViews>
  <sheetFormatPr baseColWidth="10" defaultRowHeight="15" x14ac:dyDescent="0.25"/>
  <cols>
    <col min="1" max="1" width="13.5703125" bestFit="1" customWidth="1"/>
    <col min="2" max="2" width="28.7109375" bestFit="1" customWidth="1"/>
    <col min="3" max="3" width="7.140625" bestFit="1" customWidth="1"/>
    <col min="4" max="4" width="29" bestFit="1" customWidth="1"/>
    <col min="5" max="9" width="20.42578125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</row>
    <row r="3" spans="1:9" x14ac:dyDescent="0.25">
      <c r="A3">
        <v>25</v>
      </c>
      <c r="B3" t="s">
        <v>5</v>
      </c>
      <c r="C3">
        <v>1003</v>
      </c>
      <c r="D3" t="s">
        <v>6</v>
      </c>
      <c r="E3" s="3">
        <v>4004360929929</v>
      </c>
      <c r="F3" s="3">
        <v>4027982545968</v>
      </c>
      <c r="G3" s="3">
        <v>4038565937426</v>
      </c>
      <c r="H3" s="3">
        <v>3953014242178</v>
      </c>
      <c r="I3" s="3">
        <v>4089971770660</v>
      </c>
    </row>
    <row r="4" spans="1:9" x14ac:dyDescent="0.25">
      <c r="A4">
        <v>25</v>
      </c>
      <c r="B4" t="s">
        <v>5</v>
      </c>
      <c r="C4">
        <v>1129</v>
      </c>
      <c r="D4" t="s">
        <v>7</v>
      </c>
      <c r="E4" s="3">
        <v>32754340</v>
      </c>
      <c r="F4" s="3">
        <v>33606636</v>
      </c>
      <c r="G4" s="3">
        <v>29455115</v>
      </c>
      <c r="H4" s="3">
        <v>67166570</v>
      </c>
      <c r="I4" s="3">
        <v>85080358</v>
      </c>
    </row>
    <row r="5" spans="1:9" x14ac:dyDescent="0.25">
      <c r="A5">
        <v>25</v>
      </c>
      <c r="B5" t="s">
        <v>5</v>
      </c>
      <c r="C5">
        <v>1149</v>
      </c>
      <c r="D5" t="s">
        <v>8</v>
      </c>
      <c r="E5" s="3">
        <v>8121108587</v>
      </c>
      <c r="F5" s="3">
        <v>3573517161</v>
      </c>
      <c r="G5" s="3">
        <v>7526634913.1300001</v>
      </c>
      <c r="H5" s="3">
        <v>8285928190</v>
      </c>
      <c r="I5" s="3">
        <v>11089293931</v>
      </c>
    </row>
    <row r="6" spans="1:9" x14ac:dyDescent="0.25">
      <c r="A6">
        <v>25</v>
      </c>
      <c r="B6" t="s">
        <v>5</v>
      </c>
      <c r="C6">
        <v>1249</v>
      </c>
      <c r="D6" t="s">
        <v>9</v>
      </c>
      <c r="E6" s="3">
        <v>0</v>
      </c>
      <c r="F6" s="3">
        <v>218156642</v>
      </c>
      <c r="G6" s="3">
        <v>351829471</v>
      </c>
      <c r="H6" s="3">
        <v>465799788</v>
      </c>
      <c r="I6" s="3">
        <v>950583063</v>
      </c>
    </row>
    <row r="7" spans="1:9" x14ac:dyDescent="0.25">
      <c r="A7">
        <v>25</v>
      </c>
      <c r="B7" t="s">
        <v>5</v>
      </c>
      <c r="C7">
        <v>2049</v>
      </c>
      <c r="D7" t="s">
        <v>10</v>
      </c>
      <c r="E7" s="3">
        <v>31107612693</v>
      </c>
      <c r="F7" s="3">
        <v>29957659123</v>
      </c>
      <c r="G7" s="3">
        <v>31616401427</v>
      </c>
      <c r="H7" s="3">
        <v>33576136166</v>
      </c>
      <c r="I7" s="3">
        <v>35724429386</v>
      </c>
    </row>
    <row r="8" spans="1:9" x14ac:dyDescent="0.25">
      <c r="A8">
        <v>25</v>
      </c>
      <c r="B8" t="s">
        <v>5</v>
      </c>
      <c r="C8">
        <v>3049</v>
      </c>
      <c r="D8" t="s">
        <v>11</v>
      </c>
      <c r="E8" s="3">
        <v>13508142870</v>
      </c>
      <c r="F8" s="3">
        <v>15850151426</v>
      </c>
      <c r="G8" s="3">
        <v>17195835783</v>
      </c>
      <c r="H8" s="3">
        <v>16715624429</v>
      </c>
      <c r="I8" s="3">
        <v>19055164273</v>
      </c>
    </row>
    <row r="9" spans="1:9" x14ac:dyDescent="0.25">
      <c r="A9">
        <v>25</v>
      </c>
      <c r="B9" t="s">
        <v>5</v>
      </c>
      <c r="C9">
        <v>4049</v>
      </c>
      <c r="D9" t="s">
        <v>12</v>
      </c>
      <c r="E9" s="3">
        <v>3989562299</v>
      </c>
      <c r="F9" s="3">
        <v>4203563401</v>
      </c>
      <c r="G9" s="3">
        <v>4508316617</v>
      </c>
      <c r="H9" s="3">
        <v>4727718613</v>
      </c>
      <c r="I9" s="3">
        <v>6121201247</v>
      </c>
    </row>
    <row r="10" spans="1:9" x14ac:dyDescent="0.25">
      <c r="A10">
        <v>25</v>
      </c>
      <c r="B10" t="s">
        <v>5</v>
      </c>
      <c r="C10">
        <v>5049</v>
      </c>
      <c r="D10" t="s">
        <v>13</v>
      </c>
      <c r="E10" s="3">
        <v>3857002603</v>
      </c>
      <c r="F10" s="3">
        <v>3770380054</v>
      </c>
      <c r="G10" s="3">
        <v>3912877409</v>
      </c>
      <c r="H10" s="3">
        <v>4292492108</v>
      </c>
      <c r="I10" s="3">
        <v>4665328325</v>
      </c>
    </row>
    <row r="11" spans="1:9" x14ac:dyDescent="0.25">
      <c r="A11">
        <v>25</v>
      </c>
      <c r="B11" t="s">
        <v>5</v>
      </c>
      <c r="C11">
        <v>6049</v>
      </c>
      <c r="D11" t="s">
        <v>14</v>
      </c>
      <c r="E11" s="3">
        <v>227399342</v>
      </c>
      <c r="F11" s="3">
        <v>237492776</v>
      </c>
      <c r="G11" s="3">
        <v>214073171</v>
      </c>
      <c r="H11" s="3">
        <v>274133594.00999999</v>
      </c>
      <c r="I11" s="3">
        <v>340206107</v>
      </c>
    </row>
    <row r="12" spans="1:9" x14ac:dyDescent="0.25">
      <c r="A12">
        <v>25</v>
      </c>
      <c r="B12" t="s">
        <v>5</v>
      </c>
      <c r="C12">
        <v>7049</v>
      </c>
      <c r="D12" t="s">
        <v>15</v>
      </c>
      <c r="E12" s="3">
        <v>136542600</v>
      </c>
      <c r="F12" s="3">
        <v>139087737</v>
      </c>
      <c r="G12" s="3">
        <v>143457428</v>
      </c>
      <c r="H12" s="3">
        <v>157426700</v>
      </c>
      <c r="I12" s="3">
        <v>177070417</v>
      </c>
    </row>
    <row r="13" spans="1:9" x14ac:dyDescent="0.25">
      <c r="A13">
        <v>25</v>
      </c>
      <c r="B13" t="s">
        <v>5</v>
      </c>
      <c r="C13">
        <v>8049</v>
      </c>
      <c r="D13" t="s">
        <v>16</v>
      </c>
      <c r="E13" s="3">
        <v>278734066</v>
      </c>
      <c r="F13" s="3">
        <v>282604908</v>
      </c>
      <c r="G13" s="3">
        <v>312446406</v>
      </c>
      <c r="H13" s="3">
        <v>360497559.64999998</v>
      </c>
      <c r="I13" s="3">
        <v>411010386</v>
      </c>
    </row>
    <row r="14" spans="1:9" x14ac:dyDescent="0.25">
      <c r="A14">
        <v>25</v>
      </c>
      <c r="B14" t="s">
        <v>5</v>
      </c>
      <c r="C14">
        <v>9094</v>
      </c>
      <c r="D14" t="s">
        <v>17</v>
      </c>
      <c r="E14" s="3">
        <v>1312186455</v>
      </c>
      <c r="F14" s="3">
        <v>1313313242</v>
      </c>
      <c r="G14" s="3">
        <v>1415073018</v>
      </c>
      <c r="H14" s="3">
        <v>1460532393</v>
      </c>
      <c r="I14" s="3">
        <v>1542404252</v>
      </c>
    </row>
    <row r="15" spans="1:9" x14ac:dyDescent="0.25">
      <c r="A15">
        <v>25</v>
      </c>
      <c r="B15" t="s">
        <v>5</v>
      </c>
      <c r="C15">
        <v>9051</v>
      </c>
      <c r="D15" s="4" t="s">
        <v>18</v>
      </c>
      <c r="E15" s="5">
        <f>SUM(E3:E14)</f>
        <v>4066931975784</v>
      </c>
      <c r="F15" s="5">
        <f t="shared" ref="F15:I15" si="0">SUM(F3:F14)</f>
        <v>4087562079074</v>
      </c>
      <c r="G15" s="5">
        <f t="shared" si="0"/>
        <v>4105792338184.1299</v>
      </c>
      <c r="H15" s="5">
        <f t="shared" si="0"/>
        <v>4023397698288.6597</v>
      </c>
      <c r="I15" s="5">
        <f t="shared" si="0"/>
        <v>4170133542405</v>
      </c>
    </row>
    <row r="16" spans="1:9" x14ac:dyDescent="0.25">
      <c r="D16" s="6"/>
    </row>
    <row r="17" spans="1:9" x14ac:dyDescent="0.25">
      <c r="A17" s="1" t="s">
        <v>19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2" t="s">
        <v>1</v>
      </c>
      <c r="B18" s="2" t="s">
        <v>2</v>
      </c>
      <c r="C18" s="2" t="s">
        <v>3</v>
      </c>
      <c r="D18" s="2" t="s">
        <v>4</v>
      </c>
      <c r="E18" s="2">
        <v>2018</v>
      </c>
      <c r="F18" s="2">
        <v>2019</v>
      </c>
      <c r="G18" s="2">
        <v>2020</v>
      </c>
      <c r="H18" s="2">
        <v>2021</v>
      </c>
      <c r="I18" s="2">
        <v>2022</v>
      </c>
    </row>
    <row r="19" spans="1:9" x14ac:dyDescent="0.25">
      <c r="A19">
        <v>23</v>
      </c>
      <c r="B19" t="s">
        <v>20</v>
      </c>
      <c r="C19">
        <v>1149</v>
      </c>
      <c r="D19" t="s">
        <v>8</v>
      </c>
      <c r="E19" s="7">
        <v>0</v>
      </c>
      <c r="F19" s="7">
        <v>14000000000</v>
      </c>
      <c r="G19" s="7">
        <v>70000000000</v>
      </c>
      <c r="H19" s="7">
        <v>70000000000</v>
      </c>
      <c r="I19" s="7">
        <v>63000000000</v>
      </c>
    </row>
    <row r="20" spans="1:9" x14ac:dyDescent="0.25">
      <c r="A20">
        <v>23</v>
      </c>
      <c r="B20" t="s">
        <v>20</v>
      </c>
      <c r="C20">
        <v>9051</v>
      </c>
      <c r="D20" s="4" t="s">
        <v>18</v>
      </c>
      <c r="E20" s="8">
        <v>0</v>
      </c>
      <c r="F20" s="8">
        <v>14000000000</v>
      </c>
      <c r="G20" s="8">
        <v>70000000000</v>
      </c>
      <c r="H20" s="8">
        <v>70000000000</v>
      </c>
      <c r="I20" s="8">
        <v>63000000000</v>
      </c>
    </row>
    <row r="21" spans="1:9" x14ac:dyDescent="0.25">
      <c r="D21" s="6"/>
    </row>
    <row r="22" spans="1:9" x14ac:dyDescent="0.25">
      <c r="A22" s="1" t="s">
        <v>21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2" t="s">
        <v>1</v>
      </c>
      <c r="B23" s="2" t="s">
        <v>2</v>
      </c>
      <c r="C23" s="2" t="s">
        <v>3</v>
      </c>
      <c r="D23" s="2" t="s">
        <v>4</v>
      </c>
      <c r="E23" s="2">
        <v>2018</v>
      </c>
      <c r="F23" s="2">
        <v>2019</v>
      </c>
      <c r="G23" s="2">
        <v>2020</v>
      </c>
      <c r="H23" s="2">
        <v>2021</v>
      </c>
      <c r="I23" s="2">
        <v>2022</v>
      </c>
    </row>
    <row r="24" spans="1:9" x14ac:dyDescent="0.25">
      <c r="A24">
        <v>24</v>
      </c>
      <c r="B24" t="s">
        <v>22</v>
      </c>
      <c r="C24">
        <v>1004</v>
      </c>
      <c r="D24" t="s">
        <v>23</v>
      </c>
      <c r="E24" s="9">
        <v>512824141.00999999</v>
      </c>
      <c r="F24" s="9">
        <v>542150422.00999999</v>
      </c>
      <c r="G24" s="9">
        <v>425846850.29000002</v>
      </c>
      <c r="H24" s="9">
        <v>528983486.49000001</v>
      </c>
      <c r="I24" s="9">
        <v>389815105.85000002</v>
      </c>
    </row>
    <row r="25" spans="1:9" x14ac:dyDescent="0.25">
      <c r="A25">
        <v>24</v>
      </c>
      <c r="B25" t="s">
        <v>22</v>
      </c>
      <c r="C25">
        <v>1129</v>
      </c>
      <c r="D25" t="s">
        <v>24</v>
      </c>
      <c r="E25" s="9">
        <v>372492289</v>
      </c>
      <c r="F25" s="9">
        <v>178765206.99000001</v>
      </c>
      <c r="G25" s="9">
        <v>262831832.87</v>
      </c>
      <c r="H25" s="9">
        <v>30911540.600000001</v>
      </c>
      <c r="I25" s="9">
        <v>393871392.64999998</v>
      </c>
    </row>
    <row r="26" spans="1:9" x14ac:dyDescent="0.25">
      <c r="A26">
        <v>24</v>
      </c>
      <c r="B26" t="s">
        <v>22</v>
      </c>
      <c r="C26">
        <v>1149</v>
      </c>
      <c r="D26" t="s">
        <v>8</v>
      </c>
      <c r="E26" s="9">
        <v>1754356665.29</v>
      </c>
      <c r="F26" s="9">
        <v>2945295441.4200001</v>
      </c>
      <c r="G26" s="9">
        <v>3625191480.29</v>
      </c>
      <c r="H26" s="9">
        <v>18609223727.330002</v>
      </c>
      <c r="I26" s="9">
        <v>4696309338.3999996</v>
      </c>
    </row>
    <row r="27" spans="1:9" x14ac:dyDescent="0.25">
      <c r="A27">
        <v>24</v>
      </c>
      <c r="B27" t="s">
        <v>22</v>
      </c>
      <c r="C27">
        <v>1180</v>
      </c>
      <c r="D27" t="s">
        <v>25</v>
      </c>
      <c r="E27" s="9">
        <v>26157295.149999999</v>
      </c>
      <c r="F27" s="9">
        <v>35499954.090000004</v>
      </c>
      <c r="G27" s="9">
        <v>269605907.44</v>
      </c>
      <c r="H27" s="9">
        <v>545132912.30999994</v>
      </c>
      <c r="I27" s="9">
        <v>573886825.96000004</v>
      </c>
    </row>
    <row r="28" spans="1:9" x14ac:dyDescent="0.25">
      <c r="A28">
        <v>24</v>
      </c>
      <c r="B28" t="s">
        <v>22</v>
      </c>
      <c r="C28">
        <v>1201</v>
      </c>
      <c r="D28" t="s">
        <v>26</v>
      </c>
      <c r="E28" s="9">
        <v>3837728.79</v>
      </c>
      <c r="F28" s="9">
        <v>423452655.17000002</v>
      </c>
      <c r="G28" s="9">
        <v>132658546.51000001</v>
      </c>
      <c r="H28" s="9">
        <v>272712503.20999998</v>
      </c>
      <c r="I28" s="9">
        <v>857775790</v>
      </c>
    </row>
    <row r="29" spans="1:9" x14ac:dyDescent="0.25">
      <c r="A29">
        <v>24</v>
      </c>
      <c r="B29" t="s">
        <v>22</v>
      </c>
      <c r="C29">
        <v>2149</v>
      </c>
      <c r="D29" t="s">
        <v>10</v>
      </c>
      <c r="E29" s="9">
        <v>21792958520.439999</v>
      </c>
      <c r="F29" s="9">
        <v>11689277170.049999</v>
      </c>
      <c r="G29" s="9">
        <v>10832990051.639999</v>
      </c>
      <c r="H29" s="9">
        <v>12422179621.969999</v>
      </c>
      <c r="I29" s="9">
        <v>19850268828.189999</v>
      </c>
    </row>
    <row r="30" spans="1:9" x14ac:dyDescent="0.25">
      <c r="A30">
        <v>24</v>
      </c>
      <c r="B30" t="s">
        <v>22</v>
      </c>
      <c r="C30">
        <v>3149</v>
      </c>
      <c r="D30" t="s">
        <v>11</v>
      </c>
      <c r="E30" s="9">
        <v>3018936559.8400002</v>
      </c>
      <c r="F30" s="9">
        <v>5283825556.5299997</v>
      </c>
      <c r="G30" s="9">
        <v>4607058667.1000004</v>
      </c>
      <c r="H30" s="9">
        <v>2930038367.7800002</v>
      </c>
      <c r="I30" s="9">
        <v>6404352491.2200003</v>
      </c>
    </row>
    <row r="31" spans="1:9" x14ac:dyDescent="0.25">
      <c r="A31">
        <v>24</v>
      </c>
      <c r="B31" t="s">
        <v>22</v>
      </c>
      <c r="C31">
        <v>4149</v>
      </c>
      <c r="D31" t="s">
        <v>12</v>
      </c>
      <c r="E31" s="9">
        <v>1020718166.9299999</v>
      </c>
      <c r="F31" s="9">
        <v>1026046533.26</v>
      </c>
      <c r="G31" s="9">
        <v>1061447164.76</v>
      </c>
      <c r="H31" s="9">
        <v>1332677708.5999999</v>
      </c>
      <c r="I31" s="9">
        <v>1755066375.26</v>
      </c>
    </row>
    <row r="32" spans="1:9" x14ac:dyDescent="0.25">
      <c r="A32">
        <v>24</v>
      </c>
      <c r="B32" t="s">
        <v>22</v>
      </c>
      <c r="C32">
        <v>5149</v>
      </c>
      <c r="D32" t="s">
        <v>13</v>
      </c>
      <c r="E32" s="9">
        <v>994304566.02999997</v>
      </c>
      <c r="F32" s="9">
        <v>1443331657.52</v>
      </c>
      <c r="G32" s="9">
        <v>1173543373.1099999</v>
      </c>
      <c r="H32" s="9">
        <v>4335960932.5299997</v>
      </c>
      <c r="I32" s="9">
        <v>1222868206.4100001</v>
      </c>
    </row>
    <row r="33" spans="1:9" x14ac:dyDescent="0.25">
      <c r="A33">
        <v>24</v>
      </c>
      <c r="B33" t="s">
        <v>22</v>
      </c>
      <c r="C33">
        <v>6149</v>
      </c>
      <c r="D33" t="s">
        <v>14</v>
      </c>
      <c r="E33" s="9">
        <v>103141709</v>
      </c>
      <c r="F33" s="9">
        <v>339936445.92000002</v>
      </c>
      <c r="G33" s="9">
        <v>169055539.59999999</v>
      </c>
      <c r="H33" s="9">
        <v>133746329.66</v>
      </c>
      <c r="I33" s="9">
        <v>173483638.83000001</v>
      </c>
    </row>
    <row r="34" spans="1:9" x14ac:dyDescent="0.25">
      <c r="A34">
        <v>24</v>
      </c>
      <c r="B34" t="s">
        <v>22</v>
      </c>
      <c r="C34">
        <v>7149</v>
      </c>
      <c r="D34" t="s">
        <v>15</v>
      </c>
      <c r="E34" s="9">
        <v>25654715</v>
      </c>
      <c r="F34" s="9">
        <v>39341838</v>
      </c>
      <c r="G34" s="9">
        <v>31967966</v>
      </c>
      <c r="H34" s="9">
        <v>322124139</v>
      </c>
      <c r="I34" s="9">
        <v>53892721</v>
      </c>
    </row>
    <row r="35" spans="1:9" x14ac:dyDescent="0.25">
      <c r="A35">
        <v>24</v>
      </c>
      <c r="B35" t="s">
        <v>22</v>
      </c>
      <c r="C35">
        <v>8149</v>
      </c>
      <c r="D35" t="s">
        <v>16</v>
      </c>
      <c r="E35" s="9">
        <v>238329496.75999999</v>
      </c>
      <c r="F35" s="9">
        <v>396245470.97000003</v>
      </c>
      <c r="G35" s="9">
        <v>403382562.13</v>
      </c>
      <c r="H35" s="9">
        <v>307988895.10000002</v>
      </c>
      <c r="I35" s="9">
        <v>372412145.17000002</v>
      </c>
    </row>
    <row r="36" spans="1:9" x14ac:dyDescent="0.25">
      <c r="A36">
        <v>24</v>
      </c>
      <c r="B36" t="s">
        <v>22</v>
      </c>
      <c r="C36">
        <v>9093</v>
      </c>
      <c r="D36" t="s">
        <v>6</v>
      </c>
      <c r="E36" s="9">
        <v>136462133</v>
      </c>
      <c r="F36" s="9">
        <v>132511152</v>
      </c>
      <c r="G36" s="9">
        <v>266346224</v>
      </c>
      <c r="H36" s="9">
        <v>75515209</v>
      </c>
      <c r="I36" s="9">
        <v>192261898</v>
      </c>
    </row>
    <row r="37" spans="1:9" x14ac:dyDescent="0.25">
      <c r="A37">
        <v>24</v>
      </c>
      <c r="B37" t="s">
        <v>22</v>
      </c>
      <c r="C37">
        <v>9094</v>
      </c>
      <c r="D37" t="s">
        <v>27</v>
      </c>
      <c r="E37" s="9">
        <v>2652966649</v>
      </c>
      <c r="F37" s="9">
        <v>2268210755.3299999</v>
      </c>
      <c r="G37" s="9">
        <v>2976051018.3299999</v>
      </c>
      <c r="H37" s="9">
        <v>310459336.32999998</v>
      </c>
      <c r="I37" s="9">
        <v>372646471</v>
      </c>
    </row>
    <row r="38" spans="1:9" x14ac:dyDescent="0.25">
      <c r="A38">
        <v>24</v>
      </c>
      <c r="B38" t="s">
        <v>22</v>
      </c>
      <c r="C38">
        <v>9097</v>
      </c>
      <c r="D38" t="s">
        <v>17</v>
      </c>
      <c r="E38" s="9">
        <v>18176217.82</v>
      </c>
      <c r="F38" s="9">
        <v>23489768</v>
      </c>
      <c r="G38" s="9">
        <v>23544342.23</v>
      </c>
      <c r="H38" s="9">
        <v>33288336.899999999</v>
      </c>
      <c r="I38" s="9">
        <v>14043564.720000001</v>
      </c>
    </row>
    <row r="39" spans="1:9" x14ac:dyDescent="0.25">
      <c r="A39">
        <v>25</v>
      </c>
      <c r="B39" t="s">
        <v>22</v>
      </c>
      <c r="C39">
        <v>9051</v>
      </c>
      <c r="D39" s="4" t="s">
        <v>18</v>
      </c>
      <c r="E39" s="8">
        <f>SUM(E24:E38)</f>
        <v>32671316853.059998</v>
      </c>
      <c r="F39" s="8">
        <f t="shared" ref="F39:I39" si="1">SUM(F24:F38)</f>
        <v>26767380027.259995</v>
      </c>
      <c r="G39" s="8">
        <f t="shared" si="1"/>
        <v>26261521526.299999</v>
      </c>
      <c r="H39" s="8">
        <f t="shared" si="1"/>
        <v>42190943046.810005</v>
      </c>
      <c r="I39" s="8">
        <f t="shared" si="1"/>
        <v>37322954792.660004</v>
      </c>
    </row>
    <row r="40" spans="1:9" x14ac:dyDescent="0.25">
      <c r="D40" s="6"/>
    </row>
    <row r="41" spans="1:9" x14ac:dyDescent="0.25">
      <c r="A41" s="1" t="s">
        <v>28</v>
      </c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2" t="s">
        <v>1</v>
      </c>
      <c r="B42" s="2" t="s">
        <v>2</v>
      </c>
      <c r="C42" s="2" t="s">
        <v>3</v>
      </c>
      <c r="D42" s="2" t="s">
        <v>4</v>
      </c>
      <c r="E42" s="2">
        <v>2018</v>
      </c>
      <c r="F42" s="2">
        <v>2019</v>
      </c>
      <c r="G42" s="2">
        <v>2020</v>
      </c>
      <c r="H42" s="2">
        <v>2021</v>
      </c>
      <c r="I42" s="2">
        <v>2022</v>
      </c>
    </row>
    <row r="43" spans="1:9" x14ac:dyDescent="0.25">
      <c r="A43">
        <v>27</v>
      </c>
      <c r="B43" t="s">
        <v>29</v>
      </c>
      <c r="C43">
        <v>1003</v>
      </c>
      <c r="D43" t="s">
        <v>6</v>
      </c>
      <c r="E43" s="9">
        <v>3480052477</v>
      </c>
      <c r="F43" s="9">
        <v>3365428596</v>
      </c>
      <c r="G43" s="9">
        <v>3561422316</v>
      </c>
      <c r="H43" s="9">
        <v>2054657895</v>
      </c>
      <c r="I43" s="9">
        <v>1800647822</v>
      </c>
    </row>
    <row r="44" spans="1:9" x14ac:dyDescent="0.25">
      <c r="A44">
        <v>27</v>
      </c>
      <c r="B44" t="s">
        <v>29</v>
      </c>
      <c r="C44">
        <v>2049</v>
      </c>
      <c r="D44" t="s">
        <v>10</v>
      </c>
      <c r="E44" s="9">
        <v>2491987377</v>
      </c>
      <c r="F44" s="9">
        <v>2389457913</v>
      </c>
      <c r="G44" s="9">
        <v>1815066462</v>
      </c>
      <c r="H44" s="9">
        <v>1602108872</v>
      </c>
      <c r="I44" s="9">
        <v>1905410170</v>
      </c>
    </row>
    <row r="45" spans="1:9" x14ac:dyDescent="0.25">
      <c r="A45">
        <v>27</v>
      </c>
      <c r="B45" t="s">
        <v>29</v>
      </c>
      <c r="C45">
        <v>1249</v>
      </c>
      <c r="D45" t="s">
        <v>26</v>
      </c>
      <c r="E45" s="9">
        <v>0</v>
      </c>
      <c r="F45" s="9">
        <v>0</v>
      </c>
      <c r="G45" s="9">
        <v>21353127</v>
      </c>
      <c r="H45" s="9">
        <v>26239183</v>
      </c>
      <c r="I45" s="9"/>
    </row>
    <row r="46" spans="1:9" x14ac:dyDescent="0.25">
      <c r="A46">
        <v>27</v>
      </c>
      <c r="B46" t="s">
        <v>29</v>
      </c>
      <c r="C46">
        <v>3049</v>
      </c>
      <c r="D46" t="s">
        <v>11</v>
      </c>
      <c r="E46" s="9">
        <v>400222931</v>
      </c>
      <c r="F46" s="9">
        <v>401369276</v>
      </c>
      <c r="G46" s="9">
        <v>382376345</v>
      </c>
      <c r="H46" s="9">
        <v>401921426</v>
      </c>
      <c r="I46" s="9">
        <v>562251461</v>
      </c>
    </row>
    <row r="47" spans="1:9" x14ac:dyDescent="0.25">
      <c r="A47">
        <v>27</v>
      </c>
      <c r="B47" t="s">
        <v>29</v>
      </c>
      <c r="C47">
        <v>4049</v>
      </c>
      <c r="D47" t="s">
        <v>12</v>
      </c>
      <c r="E47" s="9">
        <v>99051167</v>
      </c>
      <c r="F47" s="9">
        <v>173046063</v>
      </c>
      <c r="G47" s="9">
        <v>159618134</v>
      </c>
      <c r="H47" s="9">
        <v>104619731</v>
      </c>
      <c r="I47" s="9">
        <v>125065117</v>
      </c>
    </row>
    <row r="48" spans="1:9" x14ac:dyDescent="0.25">
      <c r="A48">
        <v>27</v>
      </c>
      <c r="B48" t="s">
        <v>29</v>
      </c>
      <c r="C48">
        <v>5049</v>
      </c>
      <c r="D48" t="s">
        <v>13</v>
      </c>
      <c r="E48" s="9">
        <v>0</v>
      </c>
      <c r="F48" s="9">
        <v>0</v>
      </c>
      <c r="G48" s="9">
        <v>21800945</v>
      </c>
      <c r="H48" s="9">
        <v>35027099</v>
      </c>
      <c r="I48" s="9">
        <v>17070057</v>
      </c>
    </row>
    <row r="49" spans="1:9" x14ac:dyDescent="0.25">
      <c r="A49">
        <v>27</v>
      </c>
      <c r="B49" t="s">
        <v>29</v>
      </c>
      <c r="C49">
        <v>6049</v>
      </c>
      <c r="D49" t="s">
        <v>14</v>
      </c>
      <c r="E49" s="9">
        <v>0</v>
      </c>
      <c r="F49" s="9">
        <v>0</v>
      </c>
      <c r="G49" s="9">
        <v>0</v>
      </c>
      <c r="H49" s="9">
        <v>0</v>
      </c>
      <c r="I49" s="9">
        <v>15000000</v>
      </c>
    </row>
    <row r="50" spans="1:9" x14ac:dyDescent="0.25">
      <c r="A50">
        <v>27</v>
      </c>
      <c r="B50" t="s">
        <v>29</v>
      </c>
      <c r="C50">
        <v>7049</v>
      </c>
      <c r="D50" t="s">
        <v>15</v>
      </c>
      <c r="E50" s="9">
        <v>0</v>
      </c>
      <c r="F50" s="9">
        <v>0</v>
      </c>
      <c r="G50" s="9">
        <v>0</v>
      </c>
      <c r="H50" s="9">
        <v>0</v>
      </c>
      <c r="I50" s="9">
        <v>12472533</v>
      </c>
    </row>
    <row r="51" spans="1:9" x14ac:dyDescent="0.25">
      <c r="A51">
        <v>27</v>
      </c>
      <c r="B51" t="s">
        <v>29</v>
      </c>
      <c r="C51">
        <v>9094</v>
      </c>
      <c r="D51" t="s">
        <v>27</v>
      </c>
      <c r="E51" s="9">
        <v>682879697</v>
      </c>
      <c r="F51" s="9">
        <v>588193241</v>
      </c>
      <c r="G51" s="9">
        <v>616972618</v>
      </c>
      <c r="H51" s="9">
        <v>3198272537</v>
      </c>
      <c r="I51" s="9">
        <v>8935473152</v>
      </c>
    </row>
    <row r="52" spans="1:9" x14ac:dyDescent="0.25">
      <c r="A52">
        <v>28</v>
      </c>
      <c r="B52" t="s">
        <v>29</v>
      </c>
      <c r="C52">
        <v>1149</v>
      </c>
      <c r="D52" t="s">
        <v>8</v>
      </c>
      <c r="E52" s="9">
        <v>0</v>
      </c>
      <c r="F52" s="9">
        <v>0</v>
      </c>
      <c r="G52" s="9"/>
      <c r="H52" s="9"/>
      <c r="I52" s="9"/>
    </row>
    <row r="53" spans="1:9" x14ac:dyDescent="0.25">
      <c r="A53">
        <v>27</v>
      </c>
      <c r="B53" t="s">
        <v>29</v>
      </c>
      <c r="C53">
        <v>9051</v>
      </c>
      <c r="D53" s="4" t="s">
        <v>18</v>
      </c>
      <c r="E53" s="8">
        <f>SUM(E43:E52)</f>
        <v>7154193649</v>
      </c>
      <c r="F53" s="8">
        <f t="shared" ref="F53:I53" si="2">SUM(F43:F52)</f>
        <v>6917495089</v>
      </c>
      <c r="G53" s="8">
        <f t="shared" si="2"/>
        <v>6578609947</v>
      </c>
      <c r="H53" s="8">
        <f t="shared" si="2"/>
        <v>7422846743</v>
      </c>
      <c r="I53" s="8">
        <f t="shared" si="2"/>
        <v>13373390312</v>
      </c>
    </row>
    <row r="55" spans="1:9" x14ac:dyDescent="0.25">
      <c r="A55" s="1" t="s">
        <v>30</v>
      </c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2" t="s">
        <v>1</v>
      </c>
      <c r="B56" s="2" t="s">
        <v>2</v>
      </c>
      <c r="C56" s="2" t="s">
        <v>3</v>
      </c>
      <c r="D56" s="2" t="s">
        <v>4</v>
      </c>
      <c r="E56" s="2">
        <v>2018</v>
      </c>
      <c r="F56" s="2">
        <v>2019</v>
      </c>
      <c r="G56" s="2">
        <v>2020</v>
      </c>
      <c r="H56" s="2">
        <v>2021</v>
      </c>
      <c r="I56" s="2">
        <v>2022</v>
      </c>
    </row>
    <row r="57" spans="1:9" x14ac:dyDescent="0.25">
      <c r="A57">
        <v>29</v>
      </c>
      <c r="B57" t="s">
        <v>31</v>
      </c>
      <c r="C57">
        <v>1003</v>
      </c>
      <c r="D57" t="s">
        <v>6</v>
      </c>
      <c r="E57" s="9">
        <v>2308824000</v>
      </c>
      <c r="F57" s="9"/>
      <c r="G57" s="9">
        <v>0</v>
      </c>
      <c r="H57" s="9">
        <v>0</v>
      </c>
      <c r="I57" s="9">
        <v>0</v>
      </c>
    </row>
    <row r="58" spans="1:9" x14ac:dyDescent="0.25">
      <c r="A58">
        <v>29</v>
      </c>
      <c r="B58" t="s">
        <v>31</v>
      </c>
      <c r="C58">
        <v>1004</v>
      </c>
      <c r="D58" t="s">
        <v>23</v>
      </c>
      <c r="E58" s="9">
        <v>11779995</v>
      </c>
      <c r="F58" s="9">
        <v>0</v>
      </c>
      <c r="G58" s="9">
        <v>13668189</v>
      </c>
      <c r="H58" s="9">
        <v>7296189</v>
      </c>
      <c r="I58" s="9">
        <v>0</v>
      </c>
    </row>
    <row r="59" spans="1:9" x14ac:dyDescent="0.25">
      <c r="A59">
        <v>29</v>
      </c>
      <c r="B59" t="s">
        <v>31</v>
      </c>
      <c r="C59">
        <v>1129</v>
      </c>
      <c r="D59" t="s">
        <v>24</v>
      </c>
      <c r="E59" s="9">
        <v>1318935585</v>
      </c>
      <c r="F59" s="9">
        <v>13302795</v>
      </c>
      <c r="G59" s="9">
        <v>998911041.71000004</v>
      </c>
      <c r="H59" s="9">
        <v>1234516289</v>
      </c>
      <c r="I59" s="9">
        <v>226194534</v>
      </c>
    </row>
    <row r="60" spans="1:9" x14ac:dyDescent="0.25">
      <c r="A60">
        <v>29</v>
      </c>
      <c r="B60" t="s">
        <v>31</v>
      </c>
      <c r="C60">
        <v>1149</v>
      </c>
      <c r="D60" t="s">
        <v>8</v>
      </c>
      <c r="E60" s="9">
        <v>438427270</v>
      </c>
      <c r="F60" s="9">
        <v>345678561.70999998</v>
      </c>
      <c r="G60" s="9">
        <v>438427270</v>
      </c>
      <c r="H60" s="9">
        <v>0</v>
      </c>
      <c r="I60" s="9">
        <v>0</v>
      </c>
    </row>
    <row r="61" spans="1:9" x14ac:dyDescent="0.25">
      <c r="A61">
        <v>29</v>
      </c>
      <c r="B61" t="s">
        <v>31</v>
      </c>
      <c r="C61">
        <v>1180</v>
      </c>
      <c r="D61" t="s">
        <v>25</v>
      </c>
      <c r="E61" s="9">
        <v>1923902518.9100001</v>
      </c>
      <c r="F61" s="9">
        <v>438427270</v>
      </c>
      <c r="G61" s="9">
        <v>317191818.41000003</v>
      </c>
      <c r="H61" s="9">
        <v>3833751025.4099998</v>
      </c>
      <c r="I61" s="9">
        <v>5210186360.4099998</v>
      </c>
    </row>
    <row r="62" spans="1:9" x14ac:dyDescent="0.25">
      <c r="A62">
        <v>29</v>
      </c>
      <c r="B62" t="s">
        <v>31</v>
      </c>
      <c r="C62">
        <v>1249</v>
      </c>
      <c r="D62" t="s">
        <v>26</v>
      </c>
      <c r="E62" s="9">
        <v>0</v>
      </c>
      <c r="F62" s="9">
        <v>940429214.40999997</v>
      </c>
      <c r="G62" s="9">
        <v>8342083</v>
      </c>
      <c r="H62" s="9">
        <v>304538095</v>
      </c>
      <c r="I62" s="9">
        <v>5619336373</v>
      </c>
    </row>
    <row r="63" spans="1:9" x14ac:dyDescent="0.25">
      <c r="A63">
        <v>29</v>
      </c>
      <c r="B63" t="s">
        <v>31</v>
      </c>
      <c r="C63">
        <v>2049</v>
      </c>
      <c r="D63" t="s">
        <v>10</v>
      </c>
      <c r="E63" s="9">
        <v>55238151103.830002</v>
      </c>
      <c r="F63" s="9">
        <v>1348558</v>
      </c>
      <c r="G63" s="9">
        <v>191020958713.20999</v>
      </c>
      <c r="H63" s="9">
        <v>161956275955.72</v>
      </c>
      <c r="I63" s="9">
        <v>94657993615.360001</v>
      </c>
    </row>
    <row r="64" spans="1:9" x14ac:dyDescent="0.25">
      <c r="A64">
        <v>29</v>
      </c>
      <c r="B64" t="s">
        <v>31</v>
      </c>
      <c r="C64">
        <v>3049</v>
      </c>
      <c r="D64" t="s">
        <v>11</v>
      </c>
      <c r="E64" s="9">
        <v>27482243244.959999</v>
      </c>
      <c r="F64" s="9">
        <v>168431814479.42001</v>
      </c>
      <c r="G64" s="9">
        <v>24528526284.41</v>
      </c>
      <c r="H64" s="9">
        <v>19675379934.700001</v>
      </c>
      <c r="I64" s="9">
        <v>9605446236.0100002</v>
      </c>
    </row>
    <row r="65" spans="1:9" x14ac:dyDescent="0.25">
      <c r="A65">
        <v>29</v>
      </c>
      <c r="B65" t="s">
        <v>31</v>
      </c>
      <c r="C65">
        <v>4049</v>
      </c>
      <c r="D65" t="s">
        <v>12</v>
      </c>
      <c r="E65" s="9">
        <v>3452062629</v>
      </c>
      <c r="F65" s="9">
        <v>28050370774.25</v>
      </c>
      <c r="G65" s="9">
        <v>5476730973</v>
      </c>
      <c r="H65" s="9">
        <v>4197457983</v>
      </c>
      <c r="I65" s="9">
        <v>2542894310</v>
      </c>
    </row>
    <row r="66" spans="1:9" x14ac:dyDescent="0.25">
      <c r="A66">
        <v>29</v>
      </c>
      <c r="B66" t="s">
        <v>31</v>
      </c>
      <c r="C66">
        <v>5049</v>
      </c>
      <c r="D66" t="s">
        <v>13</v>
      </c>
      <c r="E66" s="9">
        <v>2253573213</v>
      </c>
      <c r="F66" s="9">
        <v>4253986598.9499998</v>
      </c>
      <c r="G66" s="9">
        <v>1266213299</v>
      </c>
      <c r="H66" s="9">
        <v>2415307690</v>
      </c>
      <c r="I66" s="9">
        <v>4675705821</v>
      </c>
    </row>
    <row r="67" spans="1:9" x14ac:dyDescent="0.25">
      <c r="A67">
        <v>29</v>
      </c>
      <c r="B67" t="s">
        <v>31</v>
      </c>
      <c r="C67">
        <v>6049</v>
      </c>
      <c r="D67" t="s">
        <v>14</v>
      </c>
      <c r="E67" s="9">
        <v>3000000</v>
      </c>
      <c r="F67" s="9">
        <v>2000954316.22</v>
      </c>
      <c r="G67" s="9">
        <v>118369061</v>
      </c>
      <c r="H67" s="9">
        <v>1490985</v>
      </c>
      <c r="I67" s="9">
        <v>113907</v>
      </c>
    </row>
    <row r="68" spans="1:9" x14ac:dyDescent="0.25">
      <c r="A68">
        <v>29</v>
      </c>
      <c r="B68" t="s">
        <v>31</v>
      </c>
      <c r="C68">
        <v>7049</v>
      </c>
      <c r="D68" t="s">
        <v>15</v>
      </c>
      <c r="E68" s="9">
        <v>0</v>
      </c>
      <c r="F68" s="9">
        <v>13882052</v>
      </c>
      <c r="G68" s="9">
        <v>8130300</v>
      </c>
      <c r="H68" s="9">
        <v>8130300</v>
      </c>
      <c r="I68" s="9">
        <v>0</v>
      </c>
    </row>
    <row r="69" spans="1:9" x14ac:dyDescent="0.25">
      <c r="A69">
        <v>29</v>
      </c>
      <c r="B69" t="s">
        <v>31</v>
      </c>
      <c r="C69">
        <v>8049</v>
      </c>
      <c r="D69" t="s">
        <v>16</v>
      </c>
      <c r="E69" s="9">
        <v>283396390</v>
      </c>
      <c r="F69" s="9">
        <v>0</v>
      </c>
      <c r="G69" s="9">
        <v>1749736946.8</v>
      </c>
      <c r="H69" s="9">
        <v>2497305261.4000001</v>
      </c>
      <c r="I69" s="9">
        <v>3522267768.4000001</v>
      </c>
    </row>
    <row r="70" spans="1:9" x14ac:dyDescent="0.25">
      <c r="A70">
        <v>29</v>
      </c>
      <c r="B70" t="s">
        <v>31</v>
      </c>
      <c r="C70">
        <v>9094</v>
      </c>
      <c r="D70" t="s">
        <v>27</v>
      </c>
      <c r="E70" s="9"/>
      <c r="F70" s="9">
        <v>97114</v>
      </c>
      <c r="G70" s="9"/>
      <c r="H70" s="9"/>
      <c r="I70" s="9"/>
    </row>
    <row r="71" spans="1:9" x14ac:dyDescent="0.25">
      <c r="A71">
        <v>29</v>
      </c>
      <c r="B71" t="s">
        <v>31</v>
      </c>
      <c r="C71">
        <v>9097</v>
      </c>
      <c r="D71" t="s">
        <v>17</v>
      </c>
      <c r="E71" s="9">
        <v>0</v>
      </c>
      <c r="F71" s="9">
        <v>3743033719.8000002</v>
      </c>
      <c r="G71" s="9">
        <v>0</v>
      </c>
      <c r="H71" s="9">
        <v>0</v>
      </c>
      <c r="I71" s="9">
        <v>0</v>
      </c>
    </row>
    <row r="72" spans="1:9" x14ac:dyDescent="0.25">
      <c r="A72">
        <v>29</v>
      </c>
      <c r="B72" t="s">
        <v>31</v>
      </c>
      <c r="C72">
        <v>9051</v>
      </c>
      <c r="D72" s="4" t="s">
        <v>18</v>
      </c>
      <c r="E72" s="8">
        <f>SUM(E57:E71)</f>
        <v>94714295949.700012</v>
      </c>
      <c r="F72" s="8">
        <f t="shared" ref="F72:I72" si="3">SUM(F57:F71)</f>
        <v>208233325453.76001</v>
      </c>
      <c r="G72" s="8">
        <f t="shared" si="3"/>
        <v>225945205979.53998</v>
      </c>
      <c r="H72" s="8">
        <f t="shared" si="3"/>
        <v>196131449708.23001</v>
      </c>
      <c r="I72" s="8">
        <f t="shared" si="3"/>
        <v>126060138925.17999</v>
      </c>
    </row>
  </sheetData>
  <mergeCells count="5">
    <mergeCell ref="A1:I1"/>
    <mergeCell ref="A17:I17"/>
    <mergeCell ref="A22:I22"/>
    <mergeCell ref="A41:I41"/>
    <mergeCell ref="A55:I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castaño</dc:creator>
  <cp:lastModifiedBy>carlos mario castaño</cp:lastModifiedBy>
  <dcterms:created xsi:type="dcterms:W3CDTF">2023-12-19T19:56:00Z</dcterms:created>
  <dcterms:modified xsi:type="dcterms:W3CDTF">2023-12-19T19:57:23Z</dcterms:modified>
</cp:coreProperties>
</file>