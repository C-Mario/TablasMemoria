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fca\Downloads\"/>
    </mc:Choice>
  </mc:AlternateContent>
  <xr:revisionPtr revIDLastSave="0" documentId="8_{F4173CDD-A938-45EF-BDAC-B35A8ECC1FAA}" xr6:coauthVersionLast="47" xr6:coauthVersionMax="47" xr10:uidLastSave="{00000000-0000-0000-0000-000000000000}"/>
  <bookViews>
    <workbookView xWindow="-120" yWindow="-120" windowWidth="29040" windowHeight="15720" xr2:uid="{45B3F6D0-254B-46EB-884A-D6C4692E9E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H18" i="1"/>
  <c r="G18" i="1"/>
  <c r="F18" i="1"/>
  <c r="E18" i="1"/>
</calcChain>
</file>

<file path=xl/sharedStrings.xml><?xml version="1.0" encoding="utf-8"?>
<sst xmlns="http://schemas.openxmlformats.org/spreadsheetml/2006/main" count="37" uniqueCount="22">
  <si>
    <t>Tabla A1</t>
  </si>
  <si>
    <t>Código cuenta</t>
  </si>
  <si>
    <t>Cuenta / Mayor</t>
  </si>
  <si>
    <t>Código Sede</t>
  </si>
  <si>
    <t>Sede</t>
  </si>
  <si>
    <t>ACTIVO</t>
  </si>
  <si>
    <t>FONDO PENSIONAL</t>
  </si>
  <si>
    <t>EDITORIAL</t>
  </si>
  <si>
    <t>SEDE TUMACO</t>
  </si>
  <si>
    <t>NIVEL NACIONAL</t>
  </si>
  <si>
    <t>SISTEMA GENERAL DE REGALIAS</t>
  </si>
  <si>
    <t>SEDE LA PAZ</t>
  </si>
  <si>
    <t>SEDE BOGOTÁ</t>
  </si>
  <si>
    <t>SEDE MEDELLÍN</t>
  </si>
  <si>
    <t>SEDE MANIZALES</t>
  </si>
  <si>
    <t>SEDE PALMIRA</t>
  </si>
  <si>
    <t>SEDE AMAZONIA</t>
  </si>
  <si>
    <t>SEDE ORINOQUIA</t>
  </si>
  <si>
    <t>SEDE CARIBE</t>
  </si>
  <si>
    <t>UNISALUD</t>
  </si>
  <si>
    <t>UNIMEDIOS</t>
  </si>
  <si>
    <t>Total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</si>
</sst>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.00_-;\-[$$-240A]\ * #,##0.00_-;_-[$$-240A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1947-E183-4529-ABE6-B6187527B6A4}">
  <dimension ref="A1:I18"/>
  <sheetViews>
    <sheetView tabSelected="1" workbookViewId="0">
      <selection activeCell="L13" sqref="L13"/>
    </sheetView>
  </sheetViews>
  <sheetFormatPr baseColWidth="10" defaultRowHeight="15" x14ac:dyDescent="0.25"/>
  <cols>
    <col min="1" max="1" width="13.5703125" bestFit="1" customWidth="1"/>
    <col min="2" max="2" width="14.7109375" bestFit="1" customWidth="1"/>
    <col min="3" max="3" width="12" bestFit="1" customWidth="1"/>
    <col min="4" max="4" width="29" bestFit="1" customWidth="1"/>
    <col min="5" max="9" width="22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>
        <v>2018</v>
      </c>
      <c r="F2" s="2">
        <v>2019</v>
      </c>
      <c r="G2" s="2">
        <v>2020</v>
      </c>
      <c r="H2" s="2">
        <v>2021</v>
      </c>
      <c r="I2" s="2">
        <v>2022</v>
      </c>
    </row>
    <row r="3" spans="1:9" x14ac:dyDescent="0.25">
      <c r="A3">
        <v>1</v>
      </c>
      <c r="B3" t="s">
        <v>5</v>
      </c>
      <c r="C3">
        <v>1003</v>
      </c>
      <c r="D3" t="s">
        <v>6</v>
      </c>
      <c r="E3" s="3">
        <v>3125855207445.6802</v>
      </c>
      <c r="F3" s="3">
        <v>3153976054877.3398</v>
      </c>
      <c r="G3" s="3">
        <v>3201023733185.5801</v>
      </c>
      <c r="H3" s="3">
        <v>3156800370994.4302</v>
      </c>
      <c r="I3" s="3">
        <v>3308199853613.2202</v>
      </c>
    </row>
    <row r="4" spans="1:9" x14ac:dyDescent="0.25">
      <c r="A4">
        <v>1</v>
      </c>
      <c r="B4" t="s">
        <v>5</v>
      </c>
      <c r="C4">
        <v>1004</v>
      </c>
      <c r="D4" t="s">
        <v>7</v>
      </c>
      <c r="E4" s="3">
        <v>2614847446.1599998</v>
      </c>
      <c r="F4" s="3">
        <v>2041436875.8099999</v>
      </c>
      <c r="G4" s="3">
        <v>2334383298.1100001</v>
      </c>
      <c r="H4" s="3">
        <v>3576382037.6999998</v>
      </c>
      <c r="I4" s="3">
        <v>4011198334.1100001</v>
      </c>
    </row>
    <row r="5" spans="1:9" x14ac:dyDescent="0.25">
      <c r="A5">
        <v>1</v>
      </c>
      <c r="B5" t="s">
        <v>5</v>
      </c>
      <c r="C5">
        <v>1129</v>
      </c>
      <c r="D5" t="s">
        <v>8</v>
      </c>
      <c r="E5" s="3">
        <v>44686955187.959999</v>
      </c>
      <c r="F5" s="3">
        <v>47058727415.330002</v>
      </c>
      <c r="G5" s="3">
        <v>58900404351.970001</v>
      </c>
      <c r="H5" s="3">
        <v>59693720805.519997</v>
      </c>
      <c r="I5" s="3">
        <v>58846901536.870003</v>
      </c>
    </row>
    <row r="6" spans="1:9" x14ac:dyDescent="0.25">
      <c r="A6">
        <v>1</v>
      </c>
      <c r="B6" t="s">
        <v>5</v>
      </c>
      <c r="C6">
        <v>1149</v>
      </c>
      <c r="D6" t="s">
        <v>9</v>
      </c>
      <c r="E6" s="3">
        <v>103726488334.55</v>
      </c>
      <c r="F6" s="3">
        <v>136800908263.42999</v>
      </c>
      <c r="G6" s="3">
        <v>186605125140.16</v>
      </c>
      <c r="H6" s="3">
        <v>247186463900.73001</v>
      </c>
      <c r="I6" s="3">
        <v>346208741742.71997</v>
      </c>
    </row>
    <row r="7" spans="1:9" x14ac:dyDescent="0.25">
      <c r="A7">
        <v>1</v>
      </c>
      <c r="B7" t="s">
        <v>5</v>
      </c>
      <c r="C7">
        <v>1180</v>
      </c>
      <c r="D7" t="s">
        <v>10</v>
      </c>
      <c r="E7" s="3">
        <v>2504941014.27</v>
      </c>
      <c r="F7" s="3">
        <v>1387583675.71</v>
      </c>
      <c r="G7" s="3">
        <v>10557938326.059999</v>
      </c>
      <c r="H7" s="3">
        <v>14441535316.93</v>
      </c>
      <c r="I7" s="3">
        <v>19785338248.080002</v>
      </c>
    </row>
    <row r="8" spans="1:9" x14ac:dyDescent="0.25">
      <c r="A8">
        <v>1</v>
      </c>
      <c r="B8" t="s">
        <v>5</v>
      </c>
      <c r="C8">
        <v>1249</v>
      </c>
      <c r="D8" t="s">
        <v>11</v>
      </c>
      <c r="E8" s="3">
        <v>77625276179.979996</v>
      </c>
      <c r="F8" s="3">
        <v>111713356700.27</v>
      </c>
      <c r="G8" s="3">
        <v>128376876044.38</v>
      </c>
      <c r="H8" s="3">
        <v>134758021452.08</v>
      </c>
      <c r="I8" s="3">
        <v>145437578575.09</v>
      </c>
    </row>
    <row r="9" spans="1:9" x14ac:dyDescent="0.25">
      <c r="A9">
        <v>1</v>
      </c>
      <c r="B9" t="s">
        <v>5</v>
      </c>
      <c r="C9">
        <v>2049</v>
      </c>
      <c r="D9" t="s">
        <v>12</v>
      </c>
      <c r="E9" s="3">
        <v>3085996191970.8301</v>
      </c>
      <c r="F9" s="3">
        <v>3221814927000.5898</v>
      </c>
      <c r="G9" s="3">
        <v>3326205551076.1499</v>
      </c>
      <c r="H9" s="3">
        <v>3184578492457.5898</v>
      </c>
      <c r="I9" s="3">
        <v>3126272419764.1099</v>
      </c>
    </row>
    <row r="10" spans="1:9" x14ac:dyDescent="0.25">
      <c r="A10">
        <v>1</v>
      </c>
      <c r="B10" t="s">
        <v>5</v>
      </c>
      <c r="C10">
        <v>3049</v>
      </c>
      <c r="D10" t="s">
        <v>13</v>
      </c>
      <c r="E10" s="3">
        <v>910671736923.23999</v>
      </c>
      <c r="F10" s="3">
        <v>898092523274.69995</v>
      </c>
      <c r="G10" s="3">
        <v>851844024218.25</v>
      </c>
      <c r="H10" s="3">
        <v>886193440456.33997</v>
      </c>
      <c r="I10" s="3">
        <v>859524706769.65002</v>
      </c>
    </row>
    <row r="11" spans="1:9" x14ac:dyDescent="0.25">
      <c r="A11">
        <v>1</v>
      </c>
      <c r="B11" t="s">
        <v>5</v>
      </c>
      <c r="C11">
        <v>4049</v>
      </c>
      <c r="D11" t="s">
        <v>14</v>
      </c>
      <c r="E11" s="3">
        <v>240341080392.03</v>
      </c>
      <c r="F11" s="3">
        <v>237236462671.97</v>
      </c>
      <c r="G11" s="3">
        <v>239832155497.10001</v>
      </c>
      <c r="H11" s="3">
        <v>242068611486.95999</v>
      </c>
      <c r="I11" s="3">
        <v>239859543411.98999</v>
      </c>
    </row>
    <row r="12" spans="1:9" x14ac:dyDescent="0.25">
      <c r="A12">
        <v>1</v>
      </c>
      <c r="B12" t="s">
        <v>5</v>
      </c>
      <c r="C12">
        <v>5049</v>
      </c>
      <c r="D12" t="s">
        <v>15</v>
      </c>
      <c r="E12" s="3">
        <v>132424055528.33</v>
      </c>
      <c r="F12" s="3">
        <v>124776802689.19</v>
      </c>
      <c r="G12" s="3">
        <v>122987578942.36</v>
      </c>
      <c r="H12" s="3">
        <v>128991896156.84</v>
      </c>
      <c r="I12" s="3">
        <v>126090148620.69</v>
      </c>
    </row>
    <row r="13" spans="1:9" x14ac:dyDescent="0.25">
      <c r="A13">
        <v>1</v>
      </c>
      <c r="B13" t="s">
        <v>5</v>
      </c>
      <c r="C13">
        <v>6049</v>
      </c>
      <c r="D13" t="s">
        <v>16</v>
      </c>
      <c r="E13" s="3">
        <v>18629026334.619999</v>
      </c>
      <c r="F13" s="3">
        <v>19424977361.939999</v>
      </c>
      <c r="G13" s="3">
        <v>21085858304.41</v>
      </c>
      <c r="H13" s="3">
        <v>20444917417.400002</v>
      </c>
      <c r="I13" s="3">
        <v>19334886900.18</v>
      </c>
    </row>
    <row r="14" spans="1:9" x14ac:dyDescent="0.25">
      <c r="A14">
        <v>1</v>
      </c>
      <c r="B14" t="s">
        <v>5</v>
      </c>
      <c r="C14">
        <v>7049</v>
      </c>
      <c r="D14" t="s">
        <v>17</v>
      </c>
      <c r="E14" s="3">
        <v>13508868222.25</v>
      </c>
      <c r="F14" s="3">
        <v>14144884773.65</v>
      </c>
      <c r="G14" s="3">
        <v>14085068080.77</v>
      </c>
      <c r="H14" s="3">
        <v>13305320872.290001</v>
      </c>
      <c r="I14" s="3">
        <v>12215130935.07</v>
      </c>
    </row>
    <row r="15" spans="1:9" x14ac:dyDescent="0.25">
      <c r="A15">
        <v>1</v>
      </c>
      <c r="B15" t="s">
        <v>5</v>
      </c>
      <c r="C15">
        <v>8049</v>
      </c>
      <c r="D15" t="s">
        <v>18</v>
      </c>
      <c r="E15" s="3">
        <v>15226979703.02</v>
      </c>
      <c r="F15" s="3">
        <v>16510401049.950001</v>
      </c>
      <c r="G15" s="3">
        <v>16985103201.75</v>
      </c>
      <c r="H15" s="3">
        <v>18063267282.09</v>
      </c>
      <c r="I15" s="3">
        <v>18067327978.139999</v>
      </c>
    </row>
    <row r="16" spans="1:9" x14ac:dyDescent="0.25">
      <c r="A16">
        <v>1</v>
      </c>
      <c r="B16" t="s">
        <v>5</v>
      </c>
      <c r="C16">
        <v>9094</v>
      </c>
      <c r="D16" t="s">
        <v>19</v>
      </c>
      <c r="E16" s="3">
        <v>79294153200.460007</v>
      </c>
      <c r="F16" s="3">
        <v>74242165372.820007</v>
      </c>
      <c r="G16" s="3">
        <v>76973733949.539993</v>
      </c>
      <c r="H16" s="3">
        <v>67762595481.800003</v>
      </c>
      <c r="I16" s="3">
        <v>47216336743.18</v>
      </c>
    </row>
    <row r="17" spans="1:9" x14ac:dyDescent="0.25">
      <c r="A17">
        <v>1</v>
      </c>
      <c r="B17" t="s">
        <v>5</v>
      </c>
      <c r="C17">
        <v>9097</v>
      </c>
      <c r="D17" t="s">
        <v>20</v>
      </c>
      <c r="E17" s="3">
        <v>4668127262.6000004</v>
      </c>
      <c r="F17" s="3">
        <v>5596847953.6999998</v>
      </c>
      <c r="G17" s="3">
        <v>4910427909.6999998</v>
      </c>
      <c r="H17" s="3">
        <v>5772728087.4499998</v>
      </c>
      <c r="I17" s="3">
        <v>5672663858.04</v>
      </c>
    </row>
    <row r="18" spans="1:9" x14ac:dyDescent="0.25">
      <c r="A18">
        <v>1</v>
      </c>
      <c r="B18" t="s">
        <v>5</v>
      </c>
      <c r="C18">
        <v>9051</v>
      </c>
      <c r="D18" s="4" t="s">
        <v>21</v>
      </c>
      <c r="E18" s="5">
        <f>SUM(E3:E17)</f>
        <v>7857773935145.9795</v>
      </c>
      <c r="F18" s="5">
        <f t="shared" ref="F18:I18" si="0">SUM(F3:F17)</f>
        <v>8064818059956.4023</v>
      </c>
      <c r="G18" s="5">
        <f t="shared" si="0"/>
        <v>8262707961526.29</v>
      </c>
      <c r="H18" s="5">
        <f t="shared" si="0"/>
        <v>8183637764206.1504</v>
      </c>
      <c r="I18" s="5">
        <f t="shared" si="0"/>
        <v>8336742777031.1396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castaño</dc:creator>
  <cp:lastModifiedBy>carlos mario castaño</cp:lastModifiedBy>
  <dcterms:created xsi:type="dcterms:W3CDTF">2023-12-19T03:59:47Z</dcterms:created>
  <dcterms:modified xsi:type="dcterms:W3CDTF">2023-12-19T04:01:05Z</dcterms:modified>
</cp:coreProperties>
</file>