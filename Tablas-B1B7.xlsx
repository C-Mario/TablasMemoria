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fca\Downloads\"/>
    </mc:Choice>
  </mc:AlternateContent>
  <xr:revisionPtr revIDLastSave="0" documentId="8_{774CCB59-8E09-4E84-A366-466F3B4277F8}" xr6:coauthVersionLast="47" xr6:coauthVersionMax="47" xr10:uidLastSave="{00000000-0000-0000-0000-000000000000}"/>
  <bookViews>
    <workbookView xWindow="-120" yWindow="-120" windowWidth="29040" windowHeight="15720" xr2:uid="{09661924-D72E-4A4F-87CF-CCAFF36787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2" i="1" l="1"/>
  <c r="H132" i="1"/>
  <c r="G132" i="1"/>
  <c r="F132" i="1"/>
  <c r="E132" i="1"/>
  <c r="I113" i="1"/>
  <c r="H113" i="1"/>
  <c r="G113" i="1"/>
  <c r="F113" i="1"/>
  <c r="E113" i="1"/>
  <c r="I94" i="1"/>
  <c r="H94" i="1"/>
  <c r="G94" i="1"/>
  <c r="F94" i="1"/>
  <c r="E94" i="1"/>
  <c r="I75" i="1"/>
  <c r="H75" i="1"/>
  <c r="G75" i="1"/>
  <c r="F75" i="1"/>
  <c r="E75" i="1"/>
  <c r="I56" i="1"/>
  <c r="H56" i="1"/>
  <c r="G56" i="1"/>
  <c r="F56" i="1"/>
  <c r="E56" i="1"/>
  <c r="I37" i="1"/>
  <c r="H37" i="1"/>
  <c r="G37" i="1"/>
  <c r="F37" i="1"/>
  <c r="E37" i="1"/>
  <c r="I18" i="1"/>
  <c r="H18" i="1"/>
  <c r="G18" i="1"/>
  <c r="F18" i="1"/>
  <c r="E18" i="1"/>
</calcChain>
</file>

<file path=xl/sharedStrings.xml><?xml version="1.0" encoding="utf-8"?>
<sst xmlns="http://schemas.openxmlformats.org/spreadsheetml/2006/main" count="259" uniqueCount="34">
  <si>
    <t>Tabla B1</t>
  </si>
  <si>
    <t>Código cuenta</t>
  </si>
  <si>
    <t>Cuenta / Mayor</t>
  </si>
  <si>
    <t>Código</t>
  </si>
  <si>
    <t>Sede</t>
  </si>
  <si>
    <t>EFECTIVO Y EQUIVALENTES AL EFECTIVO</t>
  </si>
  <si>
    <t>FONDO PENSIONAL</t>
  </si>
  <si>
    <t>EDITORIAL</t>
  </si>
  <si>
    <t>SEDE TUMACO</t>
  </si>
  <si>
    <t>NIVEL NACIONAL</t>
  </si>
  <si>
    <t>SISTEMA GENERAL DE REGALIAS</t>
  </si>
  <si>
    <t>SEDE LA PAZ</t>
  </si>
  <si>
    <t>SEDE BOGOTÁ</t>
  </si>
  <si>
    <t>SEDE MEDELLÍN</t>
  </si>
  <si>
    <t>SEDE MANIZALES</t>
  </si>
  <si>
    <t>SEDE PALMIRA</t>
  </si>
  <si>
    <t>SEDE AMAZONIA</t>
  </si>
  <si>
    <t>SEDE ORINOQUIA</t>
  </si>
  <si>
    <t>SEDE CARIBE</t>
  </si>
  <si>
    <t>UNISALUD</t>
  </si>
  <si>
    <t>UNIMEDIOS</t>
  </si>
  <si>
    <t>Total UN</t>
  </si>
  <si>
    <t>Tabla B2</t>
  </si>
  <si>
    <t>INVERSIONES E INSTRUMENTOS DERIVADOS</t>
  </si>
  <si>
    <t>Tabla B3</t>
  </si>
  <si>
    <t>CUENTAS POR COBRAR</t>
  </si>
  <si>
    <t>Tabla B4</t>
  </si>
  <si>
    <t>PRÉSTAMOS POR COBRAR</t>
  </si>
  <si>
    <t>Tabla B5</t>
  </si>
  <si>
    <t>INVENTARIOS</t>
  </si>
  <si>
    <t>Tabla B6</t>
  </si>
  <si>
    <t>PROPIEDADES PLANTA Y EQUIPO</t>
  </si>
  <si>
    <t>Tabla B7</t>
  </si>
  <si>
    <t>OTROS ACTIVOS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</si>
</sst>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5" formatCode="_-[$$-240A]\ * #,##0.00_-;\-[$$-240A]\ * #,##0.00_-;_-[$$-240A]\ * &quot;-&quot;??_-;_-@_-"/>
    <numFmt numFmtId="166" formatCode="_-[$$-240A]\ * #,##0_-;\-[$$-240A]\ * #,##0_-;_-[$$-240A]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3" fillId="2" borderId="0" xfId="0" applyFont="1" applyFill="1" applyAlignment="1">
      <alignment horizontal="center"/>
    </xf>
    <xf numFmtId="0" fontId="3" fillId="2" borderId="0" xfId="0" applyFont="1" applyFill="1"/>
    <xf numFmtId="0" fontId="3" fillId="0" borderId="0" xfId="0" applyFont="1"/>
    <xf numFmtId="165" fontId="0" fillId="0" borderId="0" xfId="1" applyNumberFormat="1" applyFont="1"/>
    <xf numFmtId="165" fontId="0" fillId="2" borderId="0" xfId="1" applyNumberFormat="1" applyFont="1" applyFill="1"/>
    <xf numFmtId="0" fontId="2" fillId="0" borderId="0" xfId="0" applyFont="1"/>
    <xf numFmtId="0" fontId="4" fillId="0" borderId="0" xfId="0" applyFont="1"/>
    <xf numFmtId="166" fontId="2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95D1A-1DAA-43F7-9880-72335DA29A68}">
  <dimension ref="A1:I132"/>
  <sheetViews>
    <sheetView tabSelected="1" workbookViewId="0">
      <selection activeCell="I141" sqref="I141"/>
    </sheetView>
  </sheetViews>
  <sheetFormatPr baseColWidth="10" defaultRowHeight="15" x14ac:dyDescent="0.25"/>
  <cols>
    <col min="1" max="1" width="13.5703125" bestFit="1" customWidth="1"/>
    <col min="2" max="2" width="40.140625" bestFit="1" customWidth="1"/>
    <col min="3" max="3" width="7.140625" bestFit="1" customWidth="1"/>
    <col min="4" max="4" width="29.42578125" bestFit="1" customWidth="1"/>
    <col min="5" max="9" width="22" bestFit="1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 t="s">
        <v>2</v>
      </c>
      <c r="C2" s="2" t="s">
        <v>3</v>
      </c>
      <c r="D2" s="2" t="s">
        <v>4</v>
      </c>
      <c r="E2" s="2">
        <v>2018</v>
      </c>
      <c r="F2" s="2">
        <v>2019</v>
      </c>
      <c r="G2" s="2">
        <v>2020</v>
      </c>
      <c r="H2" s="2">
        <v>2021</v>
      </c>
      <c r="I2" s="2">
        <v>2022</v>
      </c>
    </row>
    <row r="3" spans="1:9" x14ac:dyDescent="0.25">
      <c r="A3">
        <v>11</v>
      </c>
      <c r="B3" t="s">
        <v>5</v>
      </c>
      <c r="C3">
        <v>1003</v>
      </c>
      <c r="D3" s="3" t="s">
        <v>6</v>
      </c>
      <c r="E3" s="4">
        <v>0</v>
      </c>
      <c r="F3" s="4">
        <v>0</v>
      </c>
      <c r="G3" s="4">
        <v>0</v>
      </c>
      <c r="H3" s="4">
        <v>0</v>
      </c>
      <c r="I3" s="4">
        <v>0</v>
      </c>
    </row>
    <row r="4" spans="1:9" x14ac:dyDescent="0.25">
      <c r="A4">
        <v>11</v>
      </c>
      <c r="B4" t="s">
        <v>5</v>
      </c>
      <c r="C4">
        <v>1004</v>
      </c>
      <c r="D4" s="3" t="s">
        <v>7</v>
      </c>
      <c r="E4" s="4">
        <v>594567998.89999998</v>
      </c>
      <c r="F4" s="4">
        <v>374619559.41000003</v>
      </c>
      <c r="G4" s="4">
        <v>465260683.79000002</v>
      </c>
      <c r="H4" s="4">
        <v>1335050968.3499999</v>
      </c>
      <c r="I4" s="4">
        <v>2277960556.4499998</v>
      </c>
    </row>
    <row r="5" spans="1:9" x14ac:dyDescent="0.25">
      <c r="A5">
        <v>11</v>
      </c>
      <c r="B5" t="s">
        <v>5</v>
      </c>
      <c r="C5">
        <v>1129</v>
      </c>
      <c r="D5" s="3" t="s">
        <v>8</v>
      </c>
      <c r="E5" s="4">
        <v>27412930463.119999</v>
      </c>
      <c r="F5" s="4">
        <v>28981314815.900002</v>
      </c>
      <c r="G5" s="4">
        <v>38023226895.540001</v>
      </c>
      <c r="H5" s="4">
        <v>35144301762.089996</v>
      </c>
      <c r="I5" s="4">
        <v>31040307057.619999</v>
      </c>
    </row>
    <row r="6" spans="1:9" x14ac:dyDescent="0.25">
      <c r="A6">
        <v>11</v>
      </c>
      <c r="B6" t="s">
        <v>5</v>
      </c>
      <c r="C6">
        <v>1149</v>
      </c>
      <c r="D6" s="3" t="s">
        <v>9</v>
      </c>
      <c r="E6" s="4">
        <v>68728886531.009995</v>
      </c>
      <c r="F6" s="4">
        <v>89540406123.399994</v>
      </c>
      <c r="G6" s="4">
        <v>111760733542.67999</v>
      </c>
      <c r="H6" s="4">
        <v>175527600457.56</v>
      </c>
      <c r="I6" s="4">
        <v>328598656434.88</v>
      </c>
    </row>
    <row r="7" spans="1:9" x14ac:dyDescent="0.25">
      <c r="A7">
        <v>11</v>
      </c>
      <c r="B7" t="s">
        <v>5</v>
      </c>
      <c r="C7">
        <v>1180</v>
      </c>
      <c r="D7" s="3" t="s">
        <v>10</v>
      </c>
      <c r="E7" s="4">
        <v>1906655064.27</v>
      </c>
      <c r="F7" s="4">
        <v>837910768.71000004</v>
      </c>
      <c r="G7" s="4">
        <v>226419736.06</v>
      </c>
      <c r="H7" s="4">
        <v>208350342.93000001</v>
      </c>
      <c r="I7" s="4">
        <v>211307845.58000001</v>
      </c>
    </row>
    <row r="8" spans="1:9" x14ac:dyDescent="0.25">
      <c r="A8">
        <v>11</v>
      </c>
      <c r="B8" t="s">
        <v>5</v>
      </c>
      <c r="C8">
        <v>1249</v>
      </c>
      <c r="D8" s="3" t="s">
        <v>11</v>
      </c>
      <c r="E8" s="4">
        <v>9535789473.9799995</v>
      </c>
      <c r="F8" s="4">
        <v>28139164837.240002</v>
      </c>
      <c r="G8" s="4">
        <v>23693664978.459999</v>
      </c>
      <c r="H8" s="4">
        <v>24153398857.400002</v>
      </c>
      <c r="I8" s="4">
        <v>43793512198.129997</v>
      </c>
    </row>
    <row r="9" spans="1:9" x14ac:dyDescent="0.25">
      <c r="A9">
        <v>11</v>
      </c>
      <c r="B9" t="s">
        <v>5</v>
      </c>
      <c r="C9">
        <v>2049</v>
      </c>
      <c r="D9" s="3" t="s">
        <v>12</v>
      </c>
      <c r="E9" s="4">
        <v>150113125518.79001</v>
      </c>
      <c r="F9" s="4">
        <v>297546549919.82001</v>
      </c>
      <c r="G9" s="4">
        <v>407555391056.17999</v>
      </c>
      <c r="H9" s="4">
        <v>370176817068.25</v>
      </c>
      <c r="I9" s="4">
        <v>425977545943.08002</v>
      </c>
    </row>
    <row r="10" spans="1:9" x14ac:dyDescent="0.25">
      <c r="A10">
        <v>11</v>
      </c>
      <c r="B10" t="s">
        <v>5</v>
      </c>
      <c r="C10">
        <v>3049</v>
      </c>
      <c r="D10" s="3" t="s">
        <v>13</v>
      </c>
      <c r="E10" s="4">
        <v>31537781892.98</v>
      </c>
      <c r="F10" s="4">
        <v>42997659173.849998</v>
      </c>
      <c r="G10" s="4">
        <v>48206203268.25</v>
      </c>
      <c r="H10" s="4">
        <v>51470109086.029999</v>
      </c>
      <c r="I10" s="4">
        <v>67638472838.739998</v>
      </c>
    </row>
    <row r="11" spans="1:9" x14ac:dyDescent="0.25">
      <c r="A11">
        <v>11</v>
      </c>
      <c r="B11" t="s">
        <v>5</v>
      </c>
      <c r="C11">
        <v>4049</v>
      </c>
      <c r="D11" s="3" t="s">
        <v>14</v>
      </c>
      <c r="E11" s="4">
        <v>16362523112.75</v>
      </c>
      <c r="F11" s="4">
        <v>19389271143.23</v>
      </c>
      <c r="G11" s="4">
        <v>29155928808.619999</v>
      </c>
      <c r="H11" s="4">
        <v>24933734432.27</v>
      </c>
      <c r="I11" s="4">
        <v>36414686915.220001</v>
      </c>
    </row>
    <row r="12" spans="1:9" x14ac:dyDescent="0.25">
      <c r="A12">
        <v>11</v>
      </c>
      <c r="B12" t="s">
        <v>5</v>
      </c>
      <c r="C12">
        <v>5049</v>
      </c>
      <c r="D12" s="3" t="s">
        <v>15</v>
      </c>
      <c r="E12" s="4">
        <v>17125554557.209999</v>
      </c>
      <c r="F12" s="4">
        <v>20822123227.200001</v>
      </c>
      <c r="G12" s="4">
        <v>22575686622.07</v>
      </c>
      <c r="H12" s="4">
        <v>27284873965.869999</v>
      </c>
      <c r="I12" s="4">
        <v>24574577248.200001</v>
      </c>
    </row>
    <row r="13" spans="1:9" x14ac:dyDescent="0.25">
      <c r="A13">
        <v>11</v>
      </c>
      <c r="B13" t="s">
        <v>5</v>
      </c>
      <c r="C13">
        <v>6049</v>
      </c>
      <c r="D13" s="3" t="s">
        <v>16</v>
      </c>
      <c r="E13" s="4">
        <v>1873515858.47</v>
      </c>
      <c r="F13" s="4">
        <v>2691302975.9000001</v>
      </c>
      <c r="G13" s="4">
        <v>4827002967.3699999</v>
      </c>
      <c r="H13" s="4">
        <v>4401382867.5</v>
      </c>
      <c r="I13" s="4">
        <v>3093335795.1799998</v>
      </c>
    </row>
    <row r="14" spans="1:9" x14ac:dyDescent="0.25">
      <c r="A14">
        <v>11</v>
      </c>
      <c r="B14" t="s">
        <v>5</v>
      </c>
      <c r="C14">
        <v>7049</v>
      </c>
      <c r="D14" s="3" t="s">
        <v>17</v>
      </c>
      <c r="E14" s="4">
        <v>2251380572.2399998</v>
      </c>
      <c r="F14" s="4">
        <v>2758501307.6500001</v>
      </c>
      <c r="G14" s="4">
        <v>3030304483.77</v>
      </c>
      <c r="H14" s="4">
        <v>2992157606.29</v>
      </c>
      <c r="I14" s="4">
        <v>2403523755.0700002</v>
      </c>
    </row>
    <row r="15" spans="1:9" x14ac:dyDescent="0.25">
      <c r="A15">
        <v>11</v>
      </c>
      <c r="B15" t="s">
        <v>5</v>
      </c>
      <c r="C15">
        <v>8049</v>
      </c>
      <c r="D15" s="3" t="s">
        <v>18</v>
      </c>
      <c r="E15" s="4">
        <v>4206612651.3400002</v>
      </c>
      <c r="F15" s="4">
        <v>4819985844.0600004</v>
      </c>
      <c r="G15" s="4">
        <v>6225518888.04</v>
      </c>
      <c r="H15" s="4">
        <v>7615319331.9399996</v>
      </c>
      <c r="I15" s="4">
        <v>8780198892.6000004</v>
      </c>
    </row>
    <row r="16" spans="1:9" x14ac:dyDescent="0.25">
      <c r="A16">
        <v>11</v>
      </c>
      <c r="B16" t="s">
        <v>5</v>
      </c>
      <c r="C16">
        <v>9094</v>
      </c>
      <c r="D16" s="3" t="s">
        <v>19</v>
      </c>
      <c r="E16" s="4">
        <v>5609451081.2600002</v>
      </c>
      <c r="F16" s="4">
        <v>10335796771.110001</v>
      </c>
      <c r="G16" s="4">
        <v>5290037466.1499996</v>
      </c>
      <c r="H16" s="4">
        <v>4702011828</v>
      </c>
      <c r="I16" s="4">
        <v>8973937322.5799999</v>
      </c>
    </row>
    <row r="17" spans="1:9" x14ac:dyDescent="0.25">
      <c r="A17">
        <v>11</v>
      </c>
      <c r="B17" t="s">
        <v>5</v>
      </c>
      <c r="C17">
        <v>9097</v>
      </c>
      <c r="D17" s="3" t="s">
        <v>20</v>
      </c>
      <c r="E17" s="4">
        <v>2342289307.1799998</v>
      </c>
      <c r="F17" s="4">
        <v>3561876066.29</v>
      </c>
      <c r="G17" s="4">
        <v>3151794535.8499999</v>
      </c>
      <c r="H17" s="4">
        <v>3702771285.6399999</v>
      </c>
      <c r="I17" s="4">
        <v>4557541887.04</v>
      </c>
    </row>
    <row r="18" spans="1:9" x14ac:dyDescent="0.25">
      <c r="A18">
        <v>11</v>
      </c>
      <c r="B18" t="s">
        <v>5</v>
      </c>
      <c r="C18">
        <v>9051</v>
      </c>
      <c r="D18" s="2" t="s">
        <v>21</v>
      </c>
      <c r="E18" s="5">
        <f>SUM(E3:E17)</f>
        <v>339601064083.5</v>
      </c>
      <c r="F18" s="5">
        <f t="shared" ref="F18:I18" si="0">SUM(F3:F17)</f>
        <v>552796482533.77002</v>
      </c>
      <c r="G18" s="5">
        <f t="shared" si="0"/>
        <v>704187173932.82996</v>
      </c>
      <c r="H18" s="5">
        <f t="shared" si="0"/>
        <v>733647879860.12</v>
      </c>
      <c r="I18" s="5">
        <f t="shared" si="0"/>
        <v>988335564690.36987</v>
      </c>
    </row>
    <row r="19" spans="1:9" x14ac:dyDescent="0.25">
      <c r="A19" s="6"/>
      <c r="B19" s="6"/>
      <c r="C19" s="6"/>
      <c r="D19" s="7"/>
      <c r="E19" s="8"/>
      <c r="F19" s="8"/>
      <c r="G19" s="8"/>
      <c r="H19" s="8"/>
      <c r="I19" s="8"/>
    </row>
    <row r="20" spans="1:9" x14ac:dyDescent="0.25">
      <c r="A20" s="1" t="s">
        <v>22</v>
      </c>
      <c r="B20" s="1"/>
      <c r="C20" s="1"/>
      <c r="D20" s="1"/>
      <c r="E20" s="1"/>
      <c r="F20" s="1"/>
      <c r="G20" s="1"/>
      <c r="H20" s="1"/>
      <c r="I20" s="1"/>
    </row>
    <row r="21" spans="1:9" x14ac:dyDescent="0.25">
      <c r="A21" s="2" t="s">
        <v>1</v>
      </c>
      <c r="B21" s="2" t="s">
        <v>2</v>
      </c>
      <c r="C21" s="2" t="s">
        <v>3</v>
      </c>
      <c r="D21" s="2" t="s">
        <v>4</v>
      </c>
      <c r="E21" s="2">
        <v>2018</v>
      </c>
      <c r="F21" s="2">
        <v>2019</v>
      </c>
      <c r="G21" s="2">
        <v>2020</v>
      </c>
      <c r="H21" s="2">
        <v>2021</v>
      </c>
      <c r="I21" s="2">
        <v>2022</v>
      </c>
    </row>
    <row r="22" spans="1:9" x14ac:dyDescent="0.25">
      <c r="A22">
        <v>12</v>
      </c>
      <c r="B22" t="s">
        <v>23</v>
      </c>
      <c r="C22">
        <v>1003</v>
      </c>
      <c r="D22" s="3" t="s">
        <v>6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</row>
    <row r="23" spans="1:9" x14ac:dyDescent="0.25">
      <c r="A23">
        <v>12</v>
      </c>
      <c r="B23" t="s">
        <v>23</v>
      </c>
      <c r="C23">
        <v>1004</v>
      </c>
      <c r="D23" s="3" t="s">
        <v>7</v>
      </c>
      <c r="E23" s="4">
        <v>650042758.75</v>
      </c>
      <c r="F23" s="4">
        <v>315408503.88999999</v>
      </c>
      <c r="G23" s="4">
        <v>330154826.81</v>
      </c>
      <c r="H23" s="4">
        <v>222359618.46000001</v>
      </c>
      <c r="I23" s="4">
        <v>0</v>
      </c>
    </row>
    <row r="24" spans="1:9" x14ac:dyDescent="0.25">
      <c r="A24">
        <v>12</v>
      </c>
      <c r="B24" t="s">
        <v>23</v>
      </c>
      <c r="C24">
        <v>1129</v>
      </c>
      <c r="D24" s="3" t="s">
        <v>8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</row>
    <row r="25" spans="1:9" x14ac:dyDescent="0.25">
      <c r="A25">
        <v>12</v>
      </c>
      <c r="B25" t="s">
        <v>23</v>
      </c>
      <c r="C25">
        <v>1149</v>
      </c>
      <c r="D25" s="3" t="s">
        <v>9</v>
      </c>
      <c r="E25" s="4">
        <v>13468882681.75</v>
      </c>
      <c r="F25" s="4">
        <v>26424469317.119999</v>
      </c>
      <c r="G25" s="4">
        <v>41498713734.440002</v>
      </c>
      <c r="H25" s="4">
        <v>47119838355.779999</v>
      </c>
      <c r="I25" s="4">
        <v>9010216136.8999996</v>
      </c>
    </row>
    <row r="26" spans="1:9" x14ac:dyDescent="0.25">
      <c r="A26">
        <v>12</v>
      </c>
      <c r="B26" t="s">
        <v>23</v>
      </c>
      <c r="C26">
        <v>1180</v>
      </c>
      <c r="D26" s="3" t="s">
        <v>10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</row>
    <row r="27" spans="1:9" x14ac:dyDescent="0.25">
      <c r="A27">
        <v>12</v>
      </c>
      <c r="B27" t="s">
        <v>23</v>
      </c>
      <c r="C27">
        <v>1249</v>
      </c>
      <c r="D27" s="3" t="s">
        <v>11</v>
      </c>
      <c r="E27" s="4">
        <v>0</v>
      </c>
      <c r="F27" s="4">
        <v>18048566336.029999</v>
      </c>
      <c r="G27" s="4">
        <v>37675071153.919998</v>
      </c>
      <c r="H27" s="4">
        <v>38611179658.68</v>
      </c>
      <c r="I27" s="4">
        <v>27569646423.959999</v>
      </c>
    </row>
    <row r="28" spans="1:9" x14ac:dyDescent="0.25">
      <c r="A28">
        <v>12</v>
      </c>
      <c r="B28" t="s">
        <v>23</v>
      </c>
      <c r="C28">
        <v>2049</v>
      </c>
      <c r="D28" s="3" t="s">
        <v>12</v>
      </c>
      <c r="E28" s="4">
        <v>120930766062.39999</v>
      </c>
      <c r="F28" s="4">
        <v>129265894429.28999</v>
      </c>
      <c r="G28" s="4">
        <v>142204871522.66</v>
      </c>
      <c r="H28" s="4">
        <v>134970614221.84</v>
      </c>
      <c r="I28" s="4">
        <v>28597427845.599998</v>
      </c>
    </row>
    <row r="29" spans="1:9" x14ac:dyDescent="0.25">
      <c r="A29">
        <v>12</v>
      </c>
      <c r="B29" t="s">
        <v>23</v>
      </c>
      <c r="C29">
        <v>3049</v>
      </c>
      <c r="D29" s="3" t="s">
        <v>13</v>
      </c>
      <c r="E29" s="4">
        <v>41860536793.470001</v>
      </c>
      <c r="F29" s="4">
        <v>41972081349.900002</v>
      </c>
      <c r="G29" s="4">
        <v>42262642825.239998</v>
      </c>
      <c r="H29" s="4">
        <v>51527599900.169998</v>
      </c>
      <c r="I29" s="4">
        <v>34422225731.650002</v>
      </c>
    </row>
    <row r="30" spans="1:9" x14ac:dyDescent="0.25">
      <c r="A30">
        <v>12</v>
      </c>
      <c r="B30" t="s">
        <v>23</v>
      </c>
      <c r="C30">
        <v>4049</v>
      </c>
      <c r="D30" s="3" t="s">
        <v>14</v>
      </c>
      <c r="E30" s="4">
        <v>7443121571.0100002</v>
      </c>
      <c r="F30" s="4">
        <v>9208390042.9300003</v>
      </c>
      <c r="G30" s="4">
        <v>11529334007.870001</v>
      </c>
      <c r="H30" s="4">
        <v>10990003264.540001</v>
      </c>
      <c r="I30" s="4">
        <v>0</v>
      </c>
    </row>
    <row r="31" spans="1:9" x14ac:dyDescent="0.25">
      <c r="A31">
        <v>12</v>
      </c>
      <c r="B31" t="s">
        <v>23</v>
      </c>
      <c r="C31">
        <v>5049</v>
      </c>
      <c r="D31" s="3" t="s">
        <v>15</v>
      </c>
      <c r="E31" s="4">
        <v>4122046466.25</v>
      </c>
      <c r="F31" s="4">
        <v>102735534.48999999</v>
      </c>
      <c r="G31" s="4">
        <v>102735534.48999999</v>
      </c>
      <c r="H31" s="4">
        <v>102735534.48999999</v>
      </c>
      <c r="I31" s="4">
        <v>102735534.48999999</v>
      </c>
    </row>
    <row r="32" spans="1:9" x14ac:dyDescent="0.25">
      <c r="A32">
        <v>12</v>
      </c>
      <c r="B32" t="s">
        <v>23</v>
      </c>
      <c r="C32">
        <v>6049</v>
      </c>
      <c r="D32" s="3" t="s">
        <v>16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</row>
    <row r="33" spans="1:9" x14ac:dyDescent="0.25">
      <c r="A33">
        <v>12</v>
      </c>
      <c r="B33" t="s">
        <v>23</v>
      </c>
      <c r="C33">
        <v>7049</v>
      </c>
      <c r="D33" s="3" t="s">
        <v>17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</row>
    <row r="34" spans="1:9" x14ac:dyDescent="0.25">
      <c r="A34">
        <v>12</v>
      </c>
      <c r="B34" t="s">
        <v>23</v>
      </c>
      <c r="C34">
        <v>8049</v>
      </c>
      <c r="D34" s="3" t="s">
        <v>18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</row>
    <row r="35" spans="1:9" x14ac:dyDescent="0.25">
      <c r="A35">
        <v>12</v>
      </c>
      <c r="B35" t="s">
        <v>23</v>
      </c>
      <c r="C35">
        <v>9094</v>
      </c>
      <c r="D35" s="3" t="s">
        <v>19</v>
      </c>
      <c r="E35" s="4">
        <v>69897573224.669998</v>
      </c>
      <c r="F35" s="4">
        <v>62375587594.25</v>
      </c>
      <c r="G35" s="4">
        <v>70196882374.589996</v>
      </c>
      <c r="H35" s="4">
        <v>61741176737.360001</v>
      </c>
      <c r="I35" s="4">
        <v>37297951298.870003</v>
      </c>
    </row>
    <row r="36" spans="1:9" x14ac:dyDescent="0.25">
      <c r="A36">
        <v>12</v>
      </c>
      <c r="B36" t="s">
        <v>23</v>
      </c>
      <c r="C36">
        <v>9097</v>
      </c>
      <c r="D36" s="3" t="s">
        <v>20</v>
      </c>
      <c r="E36" s="4">
        <v>801253760.41999996</v>
      </c>
      <c r="F36" s="4">
        <v>837120405.40999997</v>
      </c>
      <c r="G36" s="4">
        <v>872329100.88</v>
      </c>
      <c r="H36" s="4">
        <v>885784203.41999996</v>
      </c>
      <c r="I36" s="4">
        <v>0</v>
      </c>
    </row>
    <row r="37" spans="1:9" x14ac:dyDescent="0.25">
      <c r="A37">
        <v>12</v>
      </c>
      <c r="B37" t="s">
        <v>23</v>
      </c>
      <c r="C37">
        <v>9051</v>
      </c>
      <c r="D37" s="2" t="s">
        <v>21</v>
      </c>
      <c r="E37" s="5">
        <f>SUM(E22:E36)</f>
        <v>259174223318.72</v>
      </c>
      <c r="F37" s="5">
        <f t="shared" ref="F37:I37" si="1">SUM(F22:F36)</f>
        <v>288550253513.30994</v>
      </c>
      <c r="G37" s="5">
        <f t="shared" si="1"/>
        <v>346672735080.90002</v>
      </c>
      <c r="H37" s="5">
        <f t="shared" si="1"/>
        <v>346171291494.73993</v>
      </c>
      <c r="I37" s="5">
        <f t="shared" si="1"/>
        <v>137000202971.47</v>
      </c>
    </row>
    <row r="38" spans="1:9" x14ac:dyDescent="0.25">
      <c r="D38" s="3"/>
      <c r="E38" s="4"/>
      <c r="F38" s="4"/>
      <c r="G38" s="4"/>
      <c r="H38" s="4"/>
      <c r="I38" s="4"/>
    </row>
    <row r="39" spans="1:9" x14ac:dyDescent="0.25">
      <c r="A39" s="1" t="s">
        <v>24</v>
      </c>
      <c r="B39" s="1"/>
      <c r="C39" s="1"/>
      <c r="D39" s="1"/>
      <c r="E39" s="1"/>
      <c r="F39" s="1"/>
      <c r="G39" s="1"/>
      <c r="H39" s="1"/>
      <c r="I39" s="1"/>
    </row>
    <row r="40" spans="1:9" x14ac:dyDescent="0.25">
      <c r="A40" s="2" t="s">
        <v>1</v>
      </c>
      <c r="B40" s="2" t="s">
        <v>2</v>
      </c>
      <c r="C40" s="2" t="s">
        <v>3</v>
      </c>
      <c r="D40" s="2" t="s">
        <v>4</v>
      </c>
      <c r="E40" s="2">
        <v>2018</v>
      </c>
      <c r="F40" s="2">
        <v>2019</v>
      </c>
      <c r="G40" s="2">
        <v>2020</v>
      </c>
      <c r="H40" s="2">
        <v>2021</v>
      </c>
      <c r="I40" s="2">
        <v>2022</v>
      </c>
    </row>
    <row r="41" spans="1:9" x14ac:dyDescent="0.25">
      <c r="A41">
        <v>13</v>
      </c>
      <c r="B41" t="s">
        <v>25</v>
      </c>
      <c r="C41">
        <v>1003</v>
      </c>
      <c r="D41" s="3" t="s">
        <v>6</v>
      </c>
      <c r="E41" s="4">
        <v>4479386756.8999996</v>
      </c>
      <c r="F41" s="4">
        <v>3685213296.5</v>
      </c>
      <c r="G41" s="4">
        <v>2585621433.8200002</v>
      </c>
      <c r="H41" s="4">
        <v>2214464114.3000002</v>
      </c>
      <c r="I41" s="4">
        <v>2147115256.3</v>
      </c>
    </row>
    <row r="42" spans="1:9" x14ac:dyDescent="0.25">
      <c r="A42">
        <v>13</v>
      </c>
      <c r="B42" t="s">
        <v>25</v>
      </c>
      <c r="C42">
        <v>1004</v>
      </c>
      <c r="D42" s="3" t="s">
        <v>7</v>
      </c>
      <c r="E42" s="4">
        <v>77040584</v>
      </c>
      <c r="F42" s="4">
        <v>46732145</v>
      </c>
      <c r="G42" s="4">
        <v>190474954</v>
      </c>
      <c r="H42" s="4">
        <v>65764299.840000004</v>
      </c>
      <c r="I42" s="4">
        <v>52298312.409999996</v>
      </c>
    </row>
    <row r="43" spans="1:9" x14ac:dyDescent="0.25">
      <c r="A43">
        <v>13</v>
      </c>
      <c r="B43" t="s">
        <v>25</v>
      </c>
      <c r="C43">
        <v>1129</v>
      </c>
      <c r="D43" s="3" t="s">
        <v>8</v>
      </c>
      <c r="E43" s="4">
        <v>5893225.4100000001</v>
      </c>
      <c r="F43" s="4">
        <v>9587048</v>
      </c>
      <c r="G43" s="4">
        <v>0</v>
      </c>
      <c r="H43" s="4">
        <v>39456167</v>
      </c>
      <c r="I43" s="4">
        <v>15347928</v>
      </c>
    </row>
    <row r="44" spans="1:9" x14ac:dyDescent="0.25">
      <c r="A44">
        <v>13</v>
      </c>
      <c r="B44" t="s">
        <v>25</v>
      </c>
      <c r="C44">
        <v>1149</v>
      </c>
      <c r="D44" s="3" t="s">
        <v>9</v>
      </c>
      <c r="E44" s="4">
        <v>187667691.5</v>
      </c>
      <c r="F44" s="4">
        <v>27279298.239999998</v>
      </c>
      <c r="G44" s="4">
        <v>35449104.530000001</v>
      </c>
      <c r="H44" s="4">
        <v>559601981.78999996</v>
      </c>
      <c r="I44" s="4">
        <v>480230005.64999998</v>
      </c>
    </row>
    <row r="45" spans="1:9" x14ac:dyDescent="0.25">
      <c r="A45">
        <v>13</v>
      </c>
      <c r="B45" t="s">
        <v>25</v>
      </c>
      <c r="C45">
        <v>1180</v>
      </c>
      <c r="D45" s="3" t="s">
        <v>10</v>
      </c>
      <c r="E45" s="4">
        <v>0</v>
      </c>
      <c r="F45" s="4">
        <v>0</v>
      </c>
      <c r="G45" s="4">
        <v>7181379886</v>
      </c>
      <c r="H45" s="4">
        <v>4997998334</v>
      </c>
      <c r="I45" s="4">
        <v>5061543394.5</v>
      </c>
    </row>
    <row r="46" spans="1:9" x14ac:dyDescent="0.25">
      <c r="A46">
        <v>13</v>
      </c>
      <c r="B46" t="s">
        <v>25</v>
      </c>
      <c r="C46">
        <v>1249</v>
      </c>
      <c r="D46" s="3" t="s">
        <v>11</v>
      </c>
      <c r="E46" s="4">
        <v>5000000000</v>
      </c>
      <c r="F46" s="4">
        <v>7236548</v>
      </c>
      <c r="G46" s="4">
        <v>488399</v>
      </c>
      <c r="H46" s="4">
        <v>88861525</v>
      </c>
      <c r="I46" s="4">
        <v>184637277</v>
      </c>
    </row>
    <row r="47" spans="1:9" x14ac:dyDescent="0.25">
      <c r="A47">
        <v>13</v>
      </c>
      <c r="B47" t="s">
        <v>25</v>
      </c>
      <c r="C47">
        <v>2049</v>
      </c>
      <c r="D47" s="3" t="s">
        <v>12</v>
      </c>
      <c r="E47" s="4">
        <v>37879188298.93</v>
      </c>
      <c r="F47" s="4">
        <v>34547736962.910004</v>
      </c>
      <c r="G47" s="4">
        <v>37393530032.019997</v>
      </c>
      <c r="H47" s="4">
        <v>61881734009.779999</v>
      </c>
      <c r="I47" s="4">
        <v>63918214387.779999</v>
      </c>
    </row>
    <row r="48" spans="1:9" x14ac:dyDescent="0.25">
      <c r="A48">
        <v>13</v>
      </c>
      <c r="B48" t="s">
        <v>25</v>
      </c>
      <c r="C48">
        <v>3049</v>
      </c>
      <c r="D48" s="3" t="s">
        <v>13</v>
      </c>
      <c r="E48" s="4">
        <v>13681001099.68</v>
      </c>
      <c r="F48" s="4">
        <v>14396375019</v>
      </c>
      <c r="G48" s="4">
        <v>15103418139</v>
      </c>
      <c r="H48" s="4">
        <v>26784861971</v>
      </c>
      <c r="I48" s="4">
        <v>20343041312.880001</v>
      </c>
    </row>
    <row r="49" spans="1:9" x14ac:dyDescent="0.25">
      <c r="A49">
        <v>13</v>
      </c>
      <c r="B49" t="s">
        <v>25</v>
      </c>
      <c r="C49">
        <v>4049</v>
      </c>
      <c r="D49" s="3" t="s">
        <v>14</v>
      </c>
      <c r="E49" s="4">
        <v>961591774</v>
      </c>
      <c r="F49" s="4">
        <v>633086899</v>
      </c>
      <c r="G49" s="4">
        <v>1614620905</v>
      </c>
      <c r="H49" s="4">
        <v>3279238235</v>
      </c>
      <c r="I49" s="4">
        <v>2678382748.3600001</v>
      </c>
    </row>
    <row r="50" spans="1:9" x14ac:dyDescent="0.25">
      <c r="A50">
        <v>13</v>
      </c>
      <c r="B50" t="s">
        <v>25</v>
      </c>
      <c r="C50">
        <v>5049</v>
      </c>
      <c r="D50" s="3" t="s">
        <v>15</v>
      </c>
      <c r="E50" s="4">
        <v>403493695</v>
      </c>
      <c r="F50" s="4">
        <v>623474174</v>
      </c>
      <c r="G50" s="4">
        <v>1459532818</v>
      </c>
      <c r="H50" s="4">
        <v>526744793</v>
      </c>
      <c r="I50" s="4">
        <v>2347318175</v>
      </c>
    </row>
    <row r="51" spans="1:9" x14ac:dyDescent="0.25">
      <c r="A51">
        <v>13</v>
      </c>
      <c r="B51" t="s">
        <v>25</v>
      </c>
      <c r="C51">
        <v>6049</v>
      </c>
      <c r="D51" s="3" t="s">
        <v>16</v>
      </c>
      <c r="E51" s="4">
        <v>15052925.93</v>
      </c>
      <c r="F51" s="4">
        <v>15092610.82</v>
      </c>
      <c r="G51" s="4">
        <v>114715550.81999999</v>
      </c>
      <c r="H51" s="4">
        <v>129810665.68000001</v>
      </c>
      <c r="I51" s="4">
        <v>114104776</v>
      </c>
    </row>
    <row r="52" spans="1:9" x14ac:dyDescent="0.25">
      <c r="A52">
        <v>13</v>
      </c>
      <c r="B52" t="s">
        <v>25</v>
      </c>
      <c r="C52">
        <v>7049</v>
      </c>
      <c r="D52" s="3" t="s">
        <v>17</v>
      </c>
      <c r="E52" s="4">
        <v>213619932</v>
      </c>
      <c r="F52" s="4">
        <v>209618987</v>
      </c>
      <c r="G52" s="4">
        <v>71192788</v>
      </c>
      <c r="H52" s="4">
        <v>40381178</v>
      </c>
      <c r="I52" s="4">
        <v>19960924</v>
      </c>
    </row>
    <row r="53" spans="1:9" x14ac:dyDescent="0.25">
      <c r="A53">
        <v>13</v>
      </c>
      <c r="B53" t="s">
        <v>25</v>
      </c>
      <c r="C53">
        <v>8049</v>
      </c>
      <c r="D53" s="3" t="s">
        <v>18</v>
      </c>
      <c r="E53" s="4">
        <v>1030392404.9400001</v>
      </c>
      <c r="F53" s="4">
        <v>1829169046.2</v>
      </c>
      <c r="G53" s="4">
        <v>891667740</v>
      </c>
      <c r="H53" s="4">
        <v>990177226</v>
      </c>
      <c r="I53" s="4">
        <v>50753413</v>
      </c>
    </row>
    <row r="54" spans="1:9" x14ac:dyDescent="0.25">
      <c r="A54">
        <v>13</v>
      </c>
      <c r="B54" t="s">
        <v>25</v>
      </c>
      <c r="C54">
        <v>9094</v>
      </c>
      <c r="D54" s="3" t="s">
        <v>19</v>
      </c>
      <c r="E54" s="4">
        <v>673972687.73000002</v>
      </c>
      <c r="F54" s="4">
        <v>468210817.36000001</v>
      </c>
      <c r="G54" s="4">
        <v>251802828.69999999</v>
      </c>
      <c r="H54" s="4">
        <v>180772033.44</v>
      </c>
      <c r="I54" s="4">
        <v>62067431.729999997</v>
      </c>
    </row>
    <row r="55" spans="1:9" x14ac:dyDescent="0.25">
      <c r="A55">
        <v>13</v>
      </c>
      <c r="B55" t="s">
        <v>25</v>
      </c>
      <c r="C55">
        <v>9097</v>
      </c>
      <c r="D55" s="3" t="s">
        <v>20</v>
      </c>
      <c r="E55" s="4">
        <v>11933982</v>
      </c>
      <c r="F55" s="4">
        <v>30122050</v>
      </c>
      <c r="G55" s="4">
        <v>16659000.970000001</v>
      </c>
      <c r="H55" s="4">
        <v>4239140.88</v>
      </c>
      <c r="I55" s="4">
        <v>7584121</v>
      </c>
    </row>
    <row r="56" spans="1:9" x14ac:dyDescent="0.25">
      <c r="A56">
        <v>13</v>
      </c>
      <c r="B56" t="s">
        <v>25</v>
      </c>
      <c r="C56">
        <v>9051</v>
      </c>
      <c r="D56" s="2" t="s">
        <v>21</v>
      </c>
      <c r="E56" s="5">
        <f>SUM(E41:E55)</f>
        <v>64620235058.020004</v>
      </c>
      <c r="F56" s="5">
        <f t="shared" ref="F56:I56" si="2">SUM(F41:F55)</f>
        <v>56528934902.029999</v>
      </c>
      <c r="G56" s="5">
        <f t="shared" si="2"/>
        <v>66910553579.859993</v>
      </c>
      <c r="H56" s="5">
        <f t="shared" si="2"/>
        <v>101784105674.70999</v>
      </c>
      <c r="I56" s="5">
        <f t="shared" si="2"/>
        <v>97482599463.610001</v>
      </c>
    </row>
    <row r="57" spans="1:9" x14ac:dyDescent="0.25">
      <c r="D57" s="3"/>
      <c r="E57" s="4"/>
      <c r="F57" s="4"/>
      <c r="G57" s="4"/>
      <c r="H57" s="4"/>
      <c r="I57" s="4"/>
    </row>
    <row r="58" spans="1:9" x14ac:dyDescent="0.25">
      <c r="A58" s="1" t="s">
        <v>26</v>
      </c>
      <c r="B58" s="1"/>
      <c r="C58" s="1"/>
      <c r="D58" s="1"/>
      <c r="E58" s="1"/>
      <c r="F58" s="1"/>
      <c r="G58" s="1"/>
      <c r="H58" s="1"/>
      <c r="I58" s="1"/>
    </row>
    <row r="59" spans="1:9" x14ac:dyDescent="0.25">
      <c r="A59" s="2" t="s">
        <v>1</v>
      </c>
      <c r="B59" s="2" t="s">
        <v>2</v>
      </c>
      <c r="C59" s="2" t="s">
        <v>3</v>
      </c>
      <c r="D59" s="2" t="s">
        <v>4</v>
      </c>
      <c r="E59" s="2">
        <v>2018</v>
      </c>
      <c r="F59" s="2">
        <v>2019</v>
      </c>
      <c r="G59" s="2">
        <v>2020</v>
      </c>
      <c r="H59" s="2">
        <v>2021</v>
      </c>
      <c r="I59" s="2">
        <v>2022</v>
      </c>
    </row>
    <row r="60" spans="1:9" x14ac:dyDescent="0.25">
      <c r="A60">
        <v>14</v>
      </c>
      <c r="B60" t="s">
        <v>27</v>
      </c>
      <c r="C60">
        <v>1003</v>
      </c>
      <c r="D60" s="3" t="s">
        <v>6</v>
      </c>
      <c r="E60" s="4">
        <v>0</v>
      </c>
      <c r="F60" s="4">
        <v>0</v>
      </c>
      <c r="G60" s="4">
        <v>0</v>
      </c>
      <c r="H60" s="4">
        <v>0</v>
      </c>
      <c r="I60" s="4">
        <v>102351100</v>
      </c>
    </row>
    <row r="61" spans="1:9" x14ac:dyDescent="0.25">
      <c r="A61">
        <v>14</v>
      </c>
      <c r="B61" t="s">
        <v>27</v>
      </c>
      <c r="C61">
        <v>1004</v>
      </c>
      <c r="D61" s="3" t="s">
        <v>7</v>
      </c>
      <c r="E61" s="4">
        <v>26342325</v>
      </c>
      <c r="F61" s="4">
        <v>206113745</v>
      </c>
      <c r="G61" s="4">
        <v>179237233</v>
      </c>
      <c r="H61" s="4">
        <v>-266217</v>
      </c>
      <c r="I61" s="4">
        <v>0</v>
      </c>
    </row>
    <row r="62" spans="1:9" x14ac:dyDescent="0.25">
      <c r="A62">
        <v>14</v>
      </c>
      <c r="B62" t="s">
        <v>27</v>
      </c>
      <c r="C62">
        <v>1129</v>
      </c>
      <c r="D62" s="3" t="s">
        <v>8</v>
      </c>
      <c r="E62" s="4">
        <v>-257775792.81999999</v>
      </c>
      <c r="F62" s="4">
        <v>-240951541.81999999</v>
      </c>
      <c r="G62" s="4">
        <v>-198133673.81999999</v>
      </c>
      <c r="H62" s="4">
        <v>202482265.18000001</v>
      </c>
      <c r="I62" s="4">
        <v>14485168</v>
      </c>
    </row>
    <row r="63" spans="1:9" x14ac:dyDescent="0.25">
      <c r="A63">
        <v>14</v>
      </c>
      <c r="B63" t="s">
        <v>27</v>
      </c>
      <c r="C63">
        <v>1149</v>
      </c>
      <c r="D63" s="3" t="s">
        <v>9</v>
      </c>
      <c r="E63" s="4">
        <v>1980619371.5599999</v>
      </c>
      <c r="F63" s="4">
        <v>907736259.55999994</v>
      </c>
      <c r="G63" s="4">
        <v>14923404998.82</v>
      </c>
      <c r="H63" s="4">
        <v>5212447275.8199997</v>
      </c>
      <c r="I63" s="4">
        <v>-917701880</v>
      </c>
    </row>
    <row r="64" spans="1:9" x14ac:dyDescent="0.25">
      <c r="A64">
        <v>14</v>
      </c>
      <c r="B64" t="s">
        <v>27</v>
      </c>
      <c r="C64">
        <v>1180</v>
      </c>
      <c r="D64" s="3" t="s">
        <v>10</v>
      </c>
      <c r="E64" s="4">
        <v>0</v>
      </c>
      <c r="F64" s="4">
        <v>0</v>
      </c>
      <c r="G64" s="4">
        <v>0</v>
      </c>
      <c r="H64" s="4">
        <v>550956958</v>
      </c>
      <c r="I64" s="4">
        <v>1207306330</v>
      </c>
    </row>
    <row r="65" spans="1:9" x14ac:dyDescent="0.25">
      <c r="A65">
        <v>14</v>
      </c>
      <c r="B65" t="s">
        <v>27</v>
      </c>
      <c r="C65">
        <v>1249</v>
      </c>
      <c r="D65" s="3" t="s">
        <v>11</v>
      </c>
      <c r="E65" s="4">
        <v>0</v>
      </c>
      <c r="F65" s="4">
        <v>0</v>
      </c>
      <c r="G65" s="4">
        <v>11011299</v>
      </c>
      <c r="H65" s="4">
        <v>8083844</v>
      </c>
      <c r="I65" s="4">
        <v>2251389</v>
      </c>
    </row>
    <row r="66" spans="1:9" x14ac:dyDescent="0.25">
      <c r="A66">
        <v>14</v>
      </c>
      <c r="B66" t="s">
        <v>27</v>
      </c>
      <c r="C66">
        <v>2049</v>
      </c>
      <c r="D66" s="3" t="s">
        <v>12</v>
      </c>
      <c r="E66" s="4">
        <v>3908429661.8200002</v>
      </c>
      <c r="F66" s="4">
        <v>6379657287.5900002</v>
      </c>
      <c r="G66" s="4">
        <v>-4762160317.6899996</v>
      </c>
      <c r="H66" s="4">
        <v>305157843.69999999</v>
      </c>
      <c r="I66" s="4">
        <v>4313587761.6800003</v>
      </c>
    </row>
    <row r="67" spans="1:9" x14ac:dyDescent="0.25">
      <c r="A67">
        <v>14</v>
      </c>
      <c r="B67" t="s">
        <v>27</v>
      </c>
      <c r="C67">
        <v>3049</v>
      </c>
      <c r="D67" s="3" t="s">
        <v>13</v>
      </c>
      <c r="E67" s="4">
        <v>1240763577.6900001</v>
      </c>
      <c r="F67" s="4">
        <v>1089759551.95</v>
      </c>
      <c r="G67" s="4">
        <v>678194660.75999999</v>
      </c>
      <c r="H67" s="4">
        <v>504793692.08999997</v>
      </c>
      <c r="I67" s="4">
        <v>322190457.10000002</v>
      </c>
    </row>
    <row r="68" spans="1:9" x14ac:dyDescent="0.25">
      <c r="A68">
        <v>14</v>
      </c>
      <c r="B68" t="s">
        <v>27</v>
      </c>
      <c r="C68">
        <v>4049</v>
      </c>
      <c r="D68" s="3" t="s">
        <v>14</v>
      </c>
      <c r="E68" s="4">
        <v>-569649621</v>
      </c>
      <c r="F68" s="4">
        <v>-189037607</v>
      </c>
      <c r="G68" s="4">
        <v>-3649608698</v>
      </c>
      <c r="H68" s="4">
        <v>-1031565685</v>
      </c>
      <c r="I68" s="4">
        <v>26757712</v>
      </c>
    </row>
    <row r="69" spans="1:9" x14ac:dyDescent="0.25">
      <c r="A69">
        <v>14</v>
      </c>
      <c r="B69" t="s">
        <v>27</v>
      </c>
      <c r="C69">
        <v>5049</v>
      </c>
      <c r="D69" s="3" t="s">
        <v>15</v>
      </c>
      <c r="E69" s="4">
        <v>543758573</v>
      </c>
      <c r="F69" s="4">
        <v>447333869</v>
      </c>
      <c r="G69" s="4">
        <v>391921547</v>
      </c>
      <c r="H69" s="4">
        <v>400099210</v>
      </c>
      <c r="I69" s="4">
        <v>352818565</v>
      </c>
    </row>
    <row r="70" spans="1:9" x14ac:dyDescent="0.25">
      <c r="A70">
        <v>14</v>
      </c>
      <c r="B70" t="s">
        <v>27</v>
      </c>
      <c r="C70">
        <v>6049</v>
      </c>
      <c r="D70" s="3" t="s">
        <v>16</v>
      </c>
      <c r="E70" s="4">
        <v>-713868</v>
      </c>
      <c r="F70" s="4">
        <v>-11620166</v>
      </c>
      <c r="G70" s="4">
        <v>-154244000</v>
      </c>
      <c r="H70" s="4">
        <v>-389450</v>
      </c>
      <c r="I70" s="4">
        <v>7204128</v>
      </c>
    </row>
    <row r="71" spans="1:9" x14ac:dyDescent="0.25">
      <c r="A71">
        <v>14</v>
      </c>
      <c r="B71" t="s">
        <v>27</v>
      </c>
      <c r="C71">
        <v>7049</v>
      </c>
      <c r="D71" s="3" t="s">
        <v>17</v>
      </c>
      <c r="E71" s="4">
        <v>-226067140</v>
      </c>
      <c r="F71" s="4">
        <v>-308616167</v>
      </c>
      <c r="G71" s="4">
        <v>-231344517</v>
      </c>
      <c r="H71" s="4">
        <v>1008396</v>
      </c>
      <c r="I71" s="4">
        <v>6080668</v>
      </c>
    </row>
    <row r="72" spans="1:9" x14ac:dyDescent="0.25">
      <c r="A72">
        <v>14</v>
      </c>
      <c r="B72" t="s">
        <v>27</v>
      </c>
      <c r="C72">
        <v>8049</v>
      </c>
      <c r="D72" s="3" t="s">
        <v>18</v>
      </c>
      <c r="E72" s="4">
        <v>-2390630</v>
      </c>
      <c r="F72" s="4">
        <v>-1046355</v>
      </c>
      <c r="G72" s="4">
        <v>5907950</v>
      </c>
      <c r="H72" s="4">
        <v>-6304253</v>
      </c>
      <c r="I72" s="4">
        <v>-4800533</v>
      </c>
    </row>
    <row r="73" spans="1:9" x14ac:dyDescent="0.25">
      <c r="A73">
        <v>14</v>
      </c>
      <c r="B73" t="s">
        <v>27</v>
      </c>
      <c r="C73">
        <v>9094</v>
      </c>
      <c r="D73" s="3" t="s">
        <v>19</v>
      </c>
      <c r="E73" s="4">
        <v>1688840065.0999999</v>
      </c>
      <c r="F73" s="4">
        <v>-3569807.9</v>
      </c>
      <c r="G73" s="4">
        <v>-2692465.9</v>
      </c>
      <c r="H73" s="4">
        <v>3879700</v>
      </c>
      <c r="I73" s="4">
        <v>-104353740</v>
      </c>
    </row>
    <row r="74" spans="1:9" x14ac:dyDescent="0.25">
      <c r="A74">
        <v>14</v>
      </c>
      <c r="B74" t="s">
        <v>27</v>
      </c>
      <c r="C74">
        <v>9097</v>
      </c>
      <c r="D74" s="3" t="s">
        <v>20</v>
      </c>
      <c r="E74" s="4">
        <v>58885</v>
      </c>
      <c r="F74" s="4">
        <v>10548000</v>
      </c>
      <c r="G74" s="4">
        <v>0</v>
      </c>
      <c r="H74" s="4">
        <v>0</v>
      </c>
      <c r="I74" s="4">
        <v>-2120000</v>
      </c>
    </row>
    <row r="75" spans="1:9" x14ac:dyDescent="0.25">
      <c r="A75">
        <v>14</v>
      </c>
      <c r="B75" t="s">
        <v>27</v>
      </c>
      <c r="C75">
        <v>9051</v>
      </c>
      <c r="D75" s="2" t="s">
        <v>21</v>
      </c>
      <c r="E75" s="5">
        <f>SUM(E60:E74)</f>
        <v>8332215407.3500004</v>
      </c>
      <c r="F75" s="5">
        <f t="shared" ref="F75:I75" si="3">SUM(F60:F74)</f>
        <v>8286307068.3799992</v>
      </c>
      <c r="G75" s="5">
        <f t="shared" si="3"/>
        <v>7191494016.170002</v>
      </c>
      <c r="H75" s="5">
        <f t="shared" si="3"/>
        <v>6150383579.79</v>
      </c>
      <c r="I75" s="5">
        <f t="shared" si="3"/>
        <v>5326057125.7800007</v>
      </c>
    </row>
    <row r="76" spans="1:9" x14ac:dyDescent="0.25">
      <c r="D76" s="3"/>
      <c r="E76" s="4"/>
      <c r="F76" s="4"/>
      <c r="G76" s="4"/>
      <c r="H76" s="4"/>
      <c r="I76" s="4"/>
    </row>
    <row r="77" spans="1:9" x14ac:dyDescent="0.25">
      <c r="A77" s="1" t="s">
        <v>28</v>
      </c>
      <c r="B77" s="1"/>
      <c r="C77" s="1"/>
      <c r="D77" s="1"/>
      <c r="E77" s="1"/>
      <c r="F77" s="1"/>
      <c r="G77" s="1"/>
      <c r="H77" s="1"/>
      <c r="I77" s="1"/>
    </row>
    <row r="78" spans="1:9" x14ac:dyDescent="0.25">
      <c r="A78" s="2" t="s">
        <v>1</v>
      </c>
      <c r="B78" s="2" t="s">
        <v>2</v>
      </c>
      <c r="C78" s="2" t="s">
        <v>3</v>
      </c>
      <c r="D78" s="2" t="s">
        <v>4</v>
      </c>
      <c r="E78" s="2">
        <v>2018</v>
      </c>
      <c r="F78" s="2">
        <v>2019</v>
      </c>
      <c r="G78" s="2">
        <v>2020</v>
      </c>
      <c r="H78" s="2">
        <v>2021</v>
      </c>
      <c r="I78" s="2">
        <v>2022</v>
      </c>
    </row>
    <row r="79" spans="1:9" x14ac:dyDescent="0.25">
      <c r="A79">
        <v>15</v>
      </c>
      <c r="B79" t="s">
        <v>29</v>
      </c>
      <c r="C79">
        <v>1003</v>
      </c>
      <c r="D79" s="3" t="s">
        <v>6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</row>
    <row r="80" spans="1:9" x14ac:dyDescent="0.25">
      <c r="A80">
        <v>15</v>
      </c>
      <c r="B80" t="s">
        <v>29</v>
      </c>
      <c r="C80">
        <v>1004</v>
      </c>
      <c r="D80" s="3" t="s">
        <v>7</v>
      </c>
      <c r="E80" s="4">
        <v>1083846435.51</v>
      </c>
      <c r="F80" s="4">
        <v>921099632.50999999</v>
      </c>
      <c r="G80" s="4">
        <v>1035032068.51</v>
      </c>
      <c r="H80" s="4">
        <v>1855088587.05</v>
      </c>
      <c r="I80" s="4">
        <v>1625688301.25</v>
      </c>
    </row>
    <row r="81" spans="1:9" x14ac:dyDescent="0.25">
      <c r="A81">
        <v>15</v>
      </c>
      <c r="B81" t="s">
        <v>29</v>
      </c>
      <c r="C81">
        <v>1129</v>
      </c>
      <c r="D81" s="3" t="s">
        <v>8</v>
      </c>
      <c r="E81" s="4">
        <v>0</v>
      </c>
      <c r="F81" s="4">
        <v>0</v>
      </c>
      <c r="G81" s="4">
        <v>11791900</v>
      </c>
      <c r="H81" s="4">
        <v>0</v>
      </c>
      <c r="I81" s="4">
        <v>0</v>
      </c>
    </row>
    <row r="82" spans="1:9" x14ac:dyDescent="0.25">
      <c r="A82">
        <v>15</v>
      </c>
      <c r="B82" t="s">
        <v>29</v>
      </c>
      <c r="C82">
        <v>1149</v>
      </c>
      <c r="D82" s="3" t="s">
        <v>9</v>
      </c>
      <c r="E82" s="4">
        <v>255011866</v>
      </c>
      <c r="F82" s="4">
        <v>108585674</v>
      </c>
      <c r="G82" s="4">
        <v>119331947</v>
      </c>
      <c r="H82" s="4">
        <v>86401008</v>
      </c>
      <c r="I82" s="4">
        <v>61665877</v>
      </c>
    </row>
    <row r="83" spans="1:9" x14ac:dyDescent="0.25">
      <c r="A83">
        <v>15</v>
      </c>
      <c r="B83" t="s">
        <v>29</v>
      </c>
      <c r="C83">
        <v>1180</v>
      </c>
      <c r="D83" s="3" t="s">
        <v>10</v>
      </c>
      <c r="E83" s="4">
        <v>12500</v>
      </c>
      <c r="F83" s="4">
        <v>0</v>
      </c>
      <c r="G83" s="4">
        <v>46064469</v>
      </c>
      <c r="H83" s="4">
        <v>46064469</v>
      </c>
      <c r="I83" s="4">
        <v>0</v>
      </c>
    </row>
    <row r="84" spans="1:9" x14ac:dyDescent="0.25">
      <c r="A84">
        <v>15</v>
      </c>
      <c r="B84" t="s">
        <v>29</v>
      </c>
      <c r="C84">
        <v>1249</v>
      </c>
      <c r="D84" s="3" t="s">
        <v>11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</row>
    <row r="85" spans="1:9" x14ac:dyDescent="0.25">
      <c r="A85">
        <v>15</v>
      </c>
      <c r="B85" t="s">
        <v>29</v>
      </c>
      <c r="C85">
        <v>2049</v>
      </c>
      <c r="D85" s="3" t="s">
        <v>12</v>
      </c>
      <c r="E85" s="4">
        <v>27976557235.259998</v>
      </c>
      <c r="F85" s="4">
        <v>12535497671.200001</v>
      </c>
      <c r="G85" s="4">
        <v>2084419885.55</v>
      </c>
      <c r="H85" s="4">
        <v>43845079919.370003</v>
      </c>
      <c r="I85" s="4">
        <v>3089805409.3699999</v>
      </c>
    </row>
    <row r="86" spans="1:9" x14ac:dyDescent="0.25">
      <c r="A86">
        <v>15</v>
      </c>
      <c r="B86" t="s">
        <v>29</v>
      </c>
      <c r="C86">
        <v>3049</v>
      </c>
      <c r="D86" s="3" t="s">
        <v>13</v>
      </c>
      <c r="E86" s="4">
        <v>67417251668</v>
      </c>
      <c r="F86" s="4">
        <v>45419959142</v>
      </c>
      <c r="G86" s="4">
        <v>402938468</v>
      </c>
      <c r="H86" s="4">
        <v>19073738059.200001</v>
      </c>
      <c r="I86" s="4">
        <v>196061759</v>
      </c>
    </row>
    <row r="87" spans="1:9" x14ac:dyDescent="0.25">
      <c r="A87">
        <v>15</v>
      </c>
      <c r="B87" t="s">
        <v>29</v>
      </c>
      <c r="C87">
        <v>4049</v>
      </c>
      <c r="D87" s="3" t="s">
        <v>14</v>
      </c>
      <c r="E87" s="4">
        <v>14853547385.469999</v>
      </c>
      <c r="F87" s="4">
        <v>4962679049</v>
      </c>
      <c r="G87" s="4">
        <v>218949752</v>
      </c>
      <c r="H87" s="4">
        <v>5357373125</v>
      </c>
      <c r="I87" s="4">
        <v>143855632</v>
      </c>
    </row>
    <row r="88" spans="1:9" x14ac:dyDescent="0.25">
      <c r="A88">
        <v>15</v>
      </c>
      <c r="B88" t="s">
        <v>29</v>
      </c>
      <c r="C88">
        <v>5049</v>
      </c>
      <c r="D88" s="3" t="s">
        <v>15</v>
      </c>
      <c r="E88" s="4">
        <v>12857501687.280001</v>
      </c>
      <c r="F88" s="4">
        <v>2264998565</v>
      </c>
      <c r="G88" s="4">
        <v>150332699</v>
      </c>
      <c r="H88" s="4">
        <v>2632297001</v>
      </c>
      <c r="I88" s="4">
        <v>169524329</v>
      </c>
    </row>
    <row r="89" spans="1:9" x14ac:dyDescent="0.25">
      <c r="A89">
        <v>15</v>
      </c>
      <c r="B89" t="s">
        <v>29</v>
      </c>
      <c r="C89">
        <v>6049</v>
      </c>
      <c r="D89" s="3" t="s">
        <v>16</v>
      </c>
      <c r="E89" s="4">
        <v>12423632</v>
      </c>
      <c r="F89" s="4">
        <v>12423632</v>
      </c>
      <c r="G89" s="4">
        <v>12967632</v>
      </c>
      <c r="H89" s="4">
        <v>17031532</v>
      </c>
      <c r="I89" s="4">
        <v>17031532</v>
      </c>
    </row>
    <row r="90" spans="1:9" x14ac:dyDescent="0.25">
      <c r="A90">
        <v>15</v>
      </c>
      <c r="B90" t="s">
        <v>29</v>
      </c>
      <c r="C90">
        <v>7049</v>
      </c>
      <c r="D90" s="3" t="s">
        <v>17</v>
      </c>
      <c r="E90" s="4">
        <v>10336875</v>
      </c>
      <c r="F90" s="4">
        <v>0</v>
      </c>
      <c r="G90" s="4">
        <v>0</v>
      </c>
      <c r="H90" s="4">
        <v>0</v>
      </c>
      <c r="I90" s="4">
        <v>0</v>
      </c>
    </row>
    <row r="91" spans="1:9" x14ac:dyDescent="0.25">
      <c r="A91">
        <v>15</v>
      </c>
      <c r="B91" t="s">
        <v>29</v>
      </c>
      <c r="C91">
        <v>8049</v>
      </c>
      <c r="D91" s="3" t="s">
        <v>18</v>
      </c>
      <c r="E91" s="4">
        <v>24750963.050000001</v>
      </c>
      <c r="F91" s="4">
        <v>26496088</v>
      </c>
      <c r="G91" s="4">
        <v>23094283</v>
      </c>
      <c r="H91" s="4">
        <v>18813232</v>
      </c>
      <c r="I91" s="4">
        <v>21280065.41</v>
      </c>
    </row>
    <row r="92" spans="1:9" x14ac:dyDescent="0.25">
      <c r="A92">
        <v>15</v>
      </c>
      <c r="B92" t="s">
        <v>29</v>
      </c>
      <c r="C92">
        <v>9094</v>
      </c>
      <c r="D92" s="3" t="s">
        <v>19</v>
      </c>
      <c r="E92" s="4">
        <v>188974850.69999999</v>
      </c>
      <c r="F92" s="4">
        <v>61012157</v>
      </c>
      <c r="G92" s="4">
        <v>85691936</v>
      </c>
      <c r="H92" s="4">
        <v>76299772</v>
      </c>
      <c r="I92" s="4">
        <v>103782290</v>
      </c>
    </row>
    <row r="93" spans="1:9" x14ac:dyDescent="0.25">
      <c r="A93">
        <v>15</v>
      </c>
      <c r="B93" t="s">
        <v>29</v>
      </c>
      <c r="C93">
        <v>9097</v>
      </c>
      <c r="D93" s="3" t="s">
        <v>20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</row>
    <row r="94" spans="1:9" x14ac:dyDescent="0.25">
      <c r="A94">
        <v>15</v>
      </c>
      <c r="B94" t="s">
        <v>29</v>
      </c>
      <c r="C94">
        <v>9051</v>
      </c>
      <c r="D94" s="2" t="s">
        <v>21</v>
      </c>
      <c r="E94" s="5">
        <f>SUM(E79:E93)</f>
        <v>124680215098.26999</v>
      </c>
      <c r="F94" s="5">
        <f t="shared" ref="F94:I94" si="4">SUM(F79:F93)</f>
        <v>66312751610.709999</v>
      </c>
      <c r="G94" s="5">
        <f t="shared" si="4"/>
        <v>4190615040.0599999</v>
      </c>
      <c r="H94" s="5">
        <f t="shared" si="4"/>
        <v>73008186704.62001</v>
      </c>
      <c r="I94" s="5">
        <f t="shared" si="4"/>
        <v>5428695195.0299997</v>
      </c>
    </row>
    <row r="95" spans="1:9" x14ac:dyDescent="0.25">
      <c r="D95" s="3"/>
      <c r="E95" s="4"/>
      <c r="F95" s="4"/>
      <c r="G95" s="4"/>
      <c r="H95" s="4"/>
      <c r="I95" s="4"/>
    </row>
    <row r="96" spans="1:9" x14ac:dyDescent="0.25">
      <c r="A96" s="1" t="s">
        <v>30</v>
      </c>
      <c r="B96" s="1"/>
      <c r="C96" s="1"/>
      <c r="D96" s="1"/>
      <c r="E96" s="1"/>
      <c r="F96" s="1"/>
      <c r="G96" s="1"/>
      <c r="H96" s="1"/>
      <c r="I96" s="1"/>
    </row>
    <row r="97" spans="1:9" x14ac:dyDescent="0.25">
      <c r="A97" s="2" t="s">
        <v>1</v>
      </c>
      <c r="B97" s="2" t="s">
        <v>2</v>
      </c>
      <c r="C97" s="2" t="s">
        <v>3</v>
      </c>
      <c r="D97" s="2" t="s">
        <v>4</v>
      </c>
      <c r="E97" s="2">
        <v>2018</v>
      </c>
      <c r="F97" s="2">
        <v>2019</v>
      </c>
      <c r="G97" s="2">
        <v>2020</v>
      </c>
      <c r="H97" s="2">
        <v>2021</v>
      </c>
      <c r="I97" s="2">
        <v>2022</v>
      </c>
    </row>
    <row r="98" spans="1:9" x14ac:dyDescent="0.25">
      <c r="A98">
        <v>16</v>
      </c>
      <c r="B98" t="s">
        <v>31</v>
      </c>
      <c r="C98">
        <v>1003</v>
      </c>
      <c r="D98" s="3" t="s">
        <v>6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</row>
    <row r="99" spans="1:9" x14ac:dyDescent="0.25">
      <c r="A99">
        <v>16</v>
      </c>
      <c r="B99" t="s">
        <v>31</v>
      </c>
      <c r="C99">
        <v>1004</v>
      </c>
      <c r="D99" s="3" t="s">
        <v>7</v>
      </c>
      <c r="E99" s="4">
        <v>173488704</v>
      </c>
      <c r="F99" s="4">
        <v>156369042</v>
      </c>
      <c r="G99" s="4">
        <v>118685706</v>
      </c>
      <c r="H99" s="4">
        <v>77769051</v>
      </c>
      <c r="I99" s="4">
        <v>47861783</v>
      </c>
    </row>
    <row r="100" spans="1:9" x14ac:dyDescent="0.25">
      <c r="A100">
        <v>16</v>
      </c>
      <c r="B100" t="s">
        <v>31</v>
      </c>
      <c r="C100">
        <v>1129</v>
      </c>
      <c r="D100" s="3" t="s">
        <v>8</v>
      </c>
      <c r="E100" s="4">
        <v>16053480229.25</v>
      </c>
      <c r="F100" s="4">
        <v>17298475453.25</v>
      </c>
      <c r="G100" s="4">
        <v>20332180079.25</v>
      </c>
      <c r="H100" s="4">
        <v>24028293223.25</v>
      </c>
      <c r="I100" s="4">
        <v>27656522495.25</v>
      </c>
    </row>
    <row r="101" spans="1:9" x14ac:dyDescent="0.25">
      <c r="A101">
        <v>16</v>
      </c>
      <c r="B101" t="s">
        <v>31</v>
      </c>
      <c r="C101">
        <v>1149</v>
      </c>
      <c r="D101" s="3" t="s">
        <v>9</v>
      </c>
      <c r="E101" s="4">
        <v>12501076338</v>
      </c>
      <c r="F101" s="4">
        <v>10616324438</v>
      </c>
      <c r="G101" s="4">
        <v>8455042219</v>
      </c>
      <c r="H101" s="4">
        <v>8784417903</v>
      </c>
      <c r="I101" s="4">
        <v>2903272632</v>
      </c>
    </row>
    <row r="102" spans="1:9" x14ac:dyDescent="0.25">
      <c r="A102">
        <v>16</v>
      </c>
      <c r="B102" t="s">
        <v>31</v>
      </c>
      <c r="C102">
        <v>1180</v>
      </c>
      <c r="D102" s="3" t="s">
        <v>10</v>
      </c>
      <c r="E102" s="4">
        <v>583205337</v>
      </c>
      <c r="F102" s="4">
        <v>539002494</v>
      </c>
      <c r="G102" s="4">
        <v>946644124</v>
      </c>
      <c r="H102" s="4">
        <v>7094595240</v>
      </c>
      <c r="I102" s="4">
        <v>12714258853</v>
      </c>
    </row>
    <row r="103" spans="1:9" x14ac:dyDescent="0.25">
      <c r="A103">
        <v>16</v>
      </c>
      <c r="B103" t="s">
        <v>31</v>
      </c>
      <c r="C103">
        <v>1249</v>
      </c>
      <c r="D103" s="3" t="s">
        <v>11</v>
      </c>
      <c r="E103" s="4">
        <v>63069472648</v>
      </c>
      <c r="F103" s="4">
        <v>64812960602</v>
      </c>
      <c r="G103" s="4">
        <v>66552893176</v>
      </c>
      <c r="H103" s="4">
        <v>70845761207</v>
      </c>
      <c r="I103" s="4">
        <v>72855213409</v>
      </c>
    </row>
    <row r="104" spans="1:9" x14ac:dyDescent="0.25">
      <c r="A104">
        <v>16</v>
      </c>
      <c r="B104" t="s">
        <v>31</v>
      </c>
      <c r="C104">
        <v>2049</v>
      </c>
      <c r="D104" s="3" t="s">
        <v>12</v>
      </c>
      <c r="E104" s="4">
        <v>2703970373453.1001</v>
      </c>
      <c r="F104" s="4">
        <v>2697067307400.0098</v>
      </c>
      <c r="G104" s="4">
        <v>2687680845058.79</v>
      </c>
      <c r="H104" s="4">
        <v>2523613047429.79</v>
      </c>
      <c r="I104" s="4">
        <v>2553819160778.4399</v>
      </c>
    </row>
    <row r="105" spans="1:9" x14ac:dyDescent="0.25">
      <c r="A105">
        <v>16</v>
      </c>
      <c r="B105" t="s">
        <v>31</v>
      </c>
      <c r="C105">
        <v>3049</v>
      </c>
      <c r="D105" s="3" t="s">
        <v>13</v>
      </c>
      <c r="E105" s="4">
        <v>742374721223</v>
      </c>
      <c r="F105" s="4">
        <v>742111126665</v>
      </c>
      <c r="G105" s="4">
        <v>733323893797</v>
      </c>
      <c r="H105" s="4">
        <v>724846873949</v>
      </c>
      <c r="I105" s="4">
        <v>723800492828</v>
      </c>
    </row>
    <row r="106" spans="1:9" x14ac:dyDescent="0.25">
      <c r="A106">
        <v>16</v>
      </c>
      <c r="B106" t="s">
        <v>31</v>
      </c>
      <c r="C106">
        <v>4049</v>
      </c>
      <c r="D106" s="3" t="s">
        <v>14</v>
      </c>
      <c r="E106" s="4">
        <v>196285417693.20001</v>
      </c>
      <c r="F106" s="4">
        <v>199198467573.20999</v>
      </c>
      <c r="G106" s="4">
        <v>195515949067</v>
      </c>
      <c r="H106" s="4">
        <v>193617922727</v>
      </c>
      <c r="I106" s="4">
        <v>195964393123.67001</v>
      </c>
    </row>
    <row r="107" spans="1:9" x14ac:dyDescent="0.25">
      <c r="A107">
        <v>16</v>
      </c>
      <c r="B107" t="s">
        <v>31</v>
      </c>
      <c r="C107">
        <v>5049</v>
      </c>
      <c r="D107" s="3" t="s">
        <v>15</v>
      </c>
      <c r="E107" s="4">
        <v>95438345149</v>
      </c>
      <c r="F107" s="4">
        <v>98165537667</v>
      </c>
      <c r="G107" s="4">
        <v>96457456146</v>
      </c>
      <c r="H107" s="4">
        <v>95840400295</v>
      </c>
      <c r="I107" s="4">
        <v>96874404144</v>
      </c>
    </row>
    <row r="108" spans="1:9" x14ac:dyDescent="0.25">
      <c r="A108">
        <v>16</v>
      </c>
      <c r="B108" t="s">
        <v>31</v>
      </c>
      <c r="C108">
        <v>6049</v>
      </c>
      <c r="D108" s="3" t="s">
        <v>16</v>
      </c>
      <c r="E108" s="4">
        <v>16642778265.219999</v>
      </c>
      <c r="F108" s="4">
        <v>16525104763.219999</v>
      </c>
      <c r="G108" s="4">
        <v>16124946217.219999</v>
      </c>
      <c r="H108" s="4">
        <v>15707697357.219999</v>
      </c>
      <c r="I108" s="4">
        <v>15316724975</v>
      </c>
    </row>
    <row r="109" spans="1:9" x14ac:dyDescent="0.25">
      <c r="A109">
        <v>16</v>
      </c>
      <c r="B109" t="s">
        <v>31</v>
      </c>
      <c r="C109">
        <v>7049</v>
      </c>
      <c r="D109" s="3" t="s">
        <v>17</v>
      </c>
      <c r="E109" s="4">
        <v>11245530718.01</v>
      </c>
      <c r="F109" s="4">
        <v>11406611119</v>
      </c>
      <c r="G109" s="4">
        <v>11037387506</v>
      </c>
      <c r="H109" s="4">
        <v>10228785875</v>
      </c>
      <c r="I109" s="4">
        <v>9726635889</v>
      </c>
    </row>
    <row r="110" spans="1:9" x14ac:dyDescent="0.25">
      <c r="A110">
        <v>16</v>
      </c>
      <c r="B110" t="s">
        <v>31</v>
      </c>
      <c r="C110">
        <v>8049</v>
      </c>
      <c r="D110" s="3" t="s">
        <v>18</v>
      </c>
      <c r="E110" s="4">
        <v>9796216437.1299992</v>
      </c>
      <c r="F110" s="4">
        <v>9607798028.1299992</v>
      </c>
      <c r="G110" s="4">
        <v>9588494407.1499996</v>
      </c>
      <c r="H110" s="4">
        <v>9288447759.1499996</v>
      </c>
      <c r="I110" s="4">
        <v>9050971792.1299992</v>
      </c>
    </row>
    <row r="111" spans="1:9" x14ac:dyDescent="0.25">
      <c r="A111">
        <v>16</v>
      </c>
      <c r="B111" t="s">
        <v>31</v>
      </c>
      <c r="C111">
        <v>9094</v>
      </c>
      <c r="D111" s="3" t="s">
        <v>19</v>
      </c>
      <c r="E111" s="4">
        <v>1202650161</v>
      </c>
      <c r="F111" s="4">
        <v>982142422</v>
      </c>
      <c r="G111" s="4">
        <v>957850051</v>
      </c>
      <c r="H111" s="4">
        <v>845106801</v>
      </c>
      <c r="I111" s="4">
        <v>688845679</v>
      </c>
    </row>
    <row r="112" spans="1:9" x14ac:dyDescent="0.25">
      <c r="A112">
        <v>16</v>
      </c>
      <c r="B112" t="s">
        <v>31</v>
      </c>
      <c r="C112">
        <v>9097</v>
      </c>
      <c r="D112" s="3" t="s">
        <v>20</v>
      </c>
      <c r="E112" s="4">
        <v>1359623050</v>
      </c>
      <c r="F112" s="4">
        <v>1017487784</v>
      </c>
      <c r="G112" s="4">
        <v>797774882</v>
      </c>
      <c r="H112" s="4">
        <v>1068909934</v>
      </c>
      <c r="I112" s="4">
        <v>1041830548</v>
      </c>
    </row>
    <row r="113" spans="1:9" x14ac:dyDescent="0.25">
      <c r="A113">
        <v>16</v>
      </c>
      <c r="B113" t="s">
        <v>31</v>
      </c>
      <c r="C113">
        <v>9051</v>
      </c>
      <c r="D113" s="2" t="s">
        <v>21</v>
      </c>
      <c r="E113" s="5">
        <f>SUM(E98:E112)</f>
        <v>3870696379405.9102</v>
      </c>
      <c r="F113" s="5">
        <f t="shared" ref="F113:I113" si="5">SUM(F98:F112)</f>
        <v>3869504715450.8198</v>
      </c>
      <c r="G113" s="5">
        <f t="shared" si="5"/>
        <v>3847890042436.4102</v>
      </c>
      <c r="H113" s="5">
        <f t="shared" si="5"/>
        <v>3685888028751.4102</v>
      </c>
      <c r="I113" s="5">
        <f t="shared" si="5"/>
        <v>3722460588929.4897</v>
      </c>
    </row>
    <row r="114" spans="1:9" x14ac:dyDescent="0.25">
      <c r="D114" s="3"/>
      <c r="E114" s="4"/>
      <c r="F114" s="4"/>
      <c r="G114" s="4"/>
      <c r="H114" s="4"/>
      <c r="I114" s="4"/>
    </row>
    <row r="115" spans="1:9" x14ac:dyDescent="0.25">
      <c r="A115" s="1" t="s">
        <v>32</v>
      </c>
      <c r="B115" s="1"/>
      <c r="C115" s="1"/>
      <c r="D115" s="1"/>
      <c r="E115" s="1"/>
      <c r="F115" s="1"/>
      <c r="G115" s="1"/>
      <c r="H115" s="1"/>
      <c r="I115" s="1"/>
    </row>
    <row r="116" spans="1:9" x14ac:dyDescent="0.25">
      <c r="A116" s="2" t="s">
        <v>1</v>
      </c>
      <c r="B116" s="2" t="s">
        <v>2</v>
      </c>
      <c r="C116" s="2" t="s">
        <v>3</v>
      </c>
      <c r="D116" s="2" t="s">
        <v>4</v>
      </c>
      <c r="E116" s="2">
        <v>2018</v>
      </c>
      <c r="F116" s="2">
        <v>2019</v>
      </c>
      <c r="G116" s="2">
        <v>2020</v>
      </c>
      <c r="H116" s="2">
        <v>2021</v>
      </c>
      <c r="I116" s="2">
        <v>2022</v>
      </c>
    </row>
    <row r="117" spans="1:9" x14ac:dyDescent="0.25">
      <c r="A117">
        <v>19</v>
      </c>
      <c r="B117" t="s">
        <v>33</v>
      </c>
      <c r="C117">
        <v>1003</v>
      </c>
      <c r="D117" s="3" t="s">
        <v>6</v>
      </c>
      <c r="E117" s="4">
        <v>3121375820688.79</v>
      </c>
      <c r="F117" s="4">
        <v>3150290841580.8398</v>
      </c>
      <c r="G117" s="4">
        <v>3198438111751.7598</v>
      </c>
      <c r="H117" s="4">
        <v>3154585906880.1299</v>
      </c>
      <c r="I117" s="4">
        <v>3305950387256.9199</v>
      </c>
    </row>
    <row r="118" spans="1:9" x14ac:dyDescent="0.25">
      <c r="A118">
        <v>19</v>
      </c>
      <c r="B118" t="s">
        <v>33</v>
      </c>
      <c r="C118">
        <v>1004</v>
      </c>
      <c r="D118" s="3" t="s">
        <v>7</v>
      </c>
      <c r="E118" s="4">
        <v>9518640</v>
      </c>
      <c r="F118" s="4">
        <v>21094248</v>
      </c>
      <c r="G118" s="4">
        <v>15537826</v>
      </c>
      <c r="H118" s="4">
        <v>20615730</v>
      </c>
      <c r="I118" s="4">
        <v>7389381</v>
      </c>
    </row>
    <row r="119" spans="1:9" x14ac:dyDescent="0.25">
      <c r="A119">
        <v>19</v>
      </c>
      <c r="B119" t="s">
        <v>33</v>
      </c>
      <c r="C119">
        <v>1129</v>
      </c>
      <c r="D119" s="3" t="s">
        <v>8</v>
      </c>
      <c r="E119" s="4">
        <v>1472427063</v>
      </c>
      <c r="F119" s="4">
        <v>1010301640</v>
      </c>
      <c r="G119" s="4">
        <v>731339151</v>
      </c>
      <c r="H119" s="4">
        <v>279187388</v>
      </c>
      <c r="I119" s="4">
        <v>120238888</v>
      </c>
    </row>
    <row r="120" spans="1:9" x14ac:dyDescent="0.25">
      <c r="A120">
        <v>19</v>
      </c>
      <c r="B120" t="s">
        <v>33</v>
      </c>
      <c r="C120">
        <v>1149</v>
      </c>
      <c r="D120" s="3" t="s">
        <v>9</v>
      </c>
      <c r="E120" s="4">
        <v>6604343854.7299995</v>
      </c>
      <c r="F120" s="4">
        <v>9176107153.1100006</v>
      </c>
      <c r="G120" s="4">
        <v>9812449593.6900005</v>
      </c>
      <c r="H120" s="4">
        <v>9896156918.7800007</v>
      </c>
      <c r="I120" s="4">
        <v>6072402536.29</v>
      </c>
    </row>
    <row r="121" spans="1:9" x14ac:dyDescent="0.25">
      <c r="A121">
        <v>19</v>
      </c>
      <c r="B121" t="s">
        <v>33</v>
      </c>
      <c r="C121">
        <v>1180</v>
      </c>
      <c r="D121" s="3" t="s">
        <v>10</v>
      </c>
      <c r="E121" s="4">
        <v>15068113</v>
      </c>
      <c r="F121" s="4">
        <v>10670413</v>
      </c>
      <c r="G121" s="4">
        <v>2157430111</v>
      </c>
      <c r="H121" s="4">
        <v>1543569973</v>
      </c>
      <c r="I121" s="4">
        <v>590921825</v>
      </c>
    </row>
    <row r="122" spans="1:9" x14ac:dyDescent="0.25">
      <c r="A122">
        <v>19</v>
      </c>
      <c r="B122" t="s">
        <v>33</v>
      </c>
      <c r="C122">
        <v>1249</v>
      </c>
      <c r="D122" s="3" t="s">
        <v>11</v>
      </c>
      <c r="E122" s="4">
        <v>20014058</v>
      </c>
      <c r="F122" s="4">
        <v>705428377</v>
      </c>
      <c r="G122" s="4">
        <v>443747038</v>
      </c>
      <c r="H122" s="4">
        <v>1050736360</v>
      </c>
      <c r="I122" s="4">
        <v>1032317878</v>
      </c>
    </row>
    <row r="123" spans="1:9" x14ac:dyDescent="0.25">
      <c r="A123">
        <v>19</v>
      </c>
      <c r="B123" t="s">
        <v>33</v>
      </c>
      <c r="C123">
        <v>2049</v>
      </c>
      <c r="D123" s="3" t="s">
        <v>12</v>
      </c>
      <c r="E123" s="4">
        <v>41217751740.529999</v>
      </c>
      <c r="F123" s="4">
        <v>44472283329.769997</v>
      </c>
      <c r="G123" s="4">
        <v>54048653838.639999</v>
      </c>
      <c r="H123" s="4">
        <v>49786041964.860001</v>
      </c>
      <c r="I123" s="4">
        <v>46556677638.160004</v>
      </c>
    </row>
    <row r="124" spans="1:9" x14ac:dyDescent="0.25">
      <c r="A124">
        <v>19</v>
      </c>
      <c r="B124" t="s">
        <v>33</v>
      </c>
      <c r="C124">
        <v>3049</v>
      </c>
      <c r="D124" s="3" t="s">
        <v>13</v>
      </c>
      <c r="E124" s="4">
        <v>12559680668.42</v>
      </c>
      <c r="F124" s="4">
        <v>10105562373</v>
      </c>
      <c r="G124" s="4">
        <v>11866733060</v>
      </c>
      <c r="H124" s="4">
        <v>11985463798.85</v>
      </c>
      <c r="I124" s="4">
        <v>12802221842.280001</v>
      </c>
    </row>
    <row r="125" spans="1:9" x14ac:dyDescent="0.25">
      <c r="A125">
        <v>19</v>
      </c>
      <c r="B125" t="s">
        <v>33</v>
      </c>
      <c r="C125">
        <v>4049</v>
      </c>
      <c r="D125" s="3" t="s">
        <v>14</v>
      </c>
      <c r="E125" s="4">
        <v>5004528476.6000004</v>
      </c>
      <c r="F125" s="4">
        <v>4033605571.5999999</v>
      </c>
      <c r="G125" s="4">
        <v>5446981654.6099997</v>
      </c>
      <c r="H125" s="4">
        <v>4921905388.1499996</v>
      </c>
      <c r="I125" s="4">
        <v>4631467280.7399998</v>
      </c>
    </row>
    <row r="126" spans="1:9" x14ac:dyDescent="0.25">
      <c r="A126">
        <v>19</v>
      </c>
      <c r="B126" t="s">
        <v>33</v>
      </c>
      <c r="C126">
        <v>5049</v>
      </c>
      <c r="D126" s="3" t="s">
        <v>15</v>
      </c>
      <c r="E126" s="4">
        <v>1933355400.5899999</v>
      </c>
      <c r="F126" s="4">
        <v>2350599652.5</v>
      </c>
      <c r="G126" s="4">
        <v>1849913575.8</v>
      </c>
      <c r="H126" s="4">
        <v>2204745357.48</v>
      </c>
      <c r="I126" s="4">
        <v>1668770625</v>
      </c>
    </row>
    <row r="127" spans="1:9" x14ac:dyDescent="0.25">
      <c r="A127">
        <v>19</v>
      </c>
      <c r="B127" t="s">
        <v>33</v>
      </c>
      <c r="C127">
        <v>6049</v>
      </c>
      <c r="D127" s="3" t="s">
        <v>16</v>
      </c>
      <c r="E127" s="4">
        <v>85969521</v>
      </c>
      <c r="F127" s="4">
        <v>192673546</v>
      </c>
      <c r="G127" s="4">
        <v>160469937</v>
      </c>
      <c r="H127" s="4">
        <v>189384445</v>
      </c>
      <c r="I127" s="4">
        <v>786485694</v>
      </c>
    </row>
    <row r="128" spans="1:9" x14ac:dyDescent="0.25">
      <c r="A128">
        <v>19</v>
      </c>
      <c r="B128" t="s">
        <v>33</v>
      </c>
      <c r="C128">
        <v>7049</v>
      </c>
      <c r="D128" s="3" t="s">
        <v>17</v>
      </c>
      <c r="E128" s="4">
        <v>14067265</v>
      </c>
      <c r="F128" s="4">
        <v>78769527</v>
      </c>
      <c r="G128" s="4">
        <v>177527820</v>
      </c>
      <c r="H128" s="4">
        <v>42987817</v>
      </c>
      <c r="I128" s="4">
        <v>58929699</v>
      </c>
    </row>
    <row r="129" spans="1:9" x14ac:dyDescent="0.25">
      <c r="A129">
        <v>19</v>
      </c>
      <c r="B129" t="s">
        <v>33</v>
      </c>
      <c r="C129">
        <v>8049</v>
      </c>
      <c r="D129" s="3" t="s">
        <v>18</v>
      </c>
      <c r="E129" s="4">
        <v>171397876.56</v>
      </c>
      <c r="F129" s="4">
        <v>227998398.56</v>
      </c>
      <c r="G129" s="4">
        <v>250419933.56</v>
      </c>
      <c r="H129" s="4">
        <v>156813986</v>
      </c>
      <c r="I129" s="4">
        <v>168924348</v>
      </c>
    </row>
    <row r="130" spans="1:9" x14ac:dyDescent="0.25">
      <c r="A130">
        <v>19</v>
      </c>
      <c r="B130" t="s">
        <v>33</v>
      </c>
      <c r="C130">
        <v>9094</v>
      </c>
      <c r="D130" s="3" t="s">
        <v>19</v>
      </c>
      <c r="E130" s="4">
        <v>32691130</v>
      </c>
      <c r="F130" s="4">
        <v>22985419</v>
      </c>
      <c r="G130" s="4">
        <v>194161759</v>
      </c>
      <c r="H130" s="4">
        <v>213348610</v>
      </c>
      <c r="I130" s="4">
        <v>194106461</v>
      </c>
    </row>
    <row r="131" spans="1:9" x14ac:dyDescent="0.25">
      <c r="A131">
        <v>19</v>
      </c>
      <c r="B131" t="s">
        <v>33</v>
      </c>
      <c r="C131">
        <v>9097</v>
      </c>
      <c r="D131" s="3" t="s">
        <v>20</v>
      </c>
      <c r="E131" s="4">
        <v>152968278</v>
      </c>
      <c r="F131" s="4">
        <v>139693648</v>
      </c>
      <c r="G131" s="4">
        <v>71870390</v>
      </c>
      <c r="H131" s="4">
        <v>111023523.51000001</v>
      </c>
      <c r="I131" s="4">
        <v>67827302</v>
      </c>
    </row>
    <row r="132" spans="1:9" x14ac:dyDescent="0.25">
      <c r="A132">
        <v>19</v>
      </c>
      <c r="B132" t="s">
        <v>33</v>
      </c>
      <c r="C132">
        <v>9051</v>
      </c>
      <c r="D132" s="2" t="s">
        <v>21</v>
      </c>
      <c r="E132" s="5">
        <f>SUM(E117:E131)</f>
        <v>3190669602774.2197</v>
      </c>
      <c r="F132" s="5">
        <f t="shared" ref="F132:I132" si="6">SUM(F117:F131)</f>
        <v>3222838614877.3799</v>
      </c>
      <c r="G132" s="5">
        <f t="shared" si="6"/>
        <v>3285665347440.0596</v>
      </c>
      <c r="H132" s="5">
        <f t="shared" si="6"/>
        <v>3236987888140.7593</v>
      </c>
      <c r="I132" s="5">
        <f t="shared" si="6"/>
        <v>3380709068655.3901</v>
      </c>
    </row>
  </sheetData>
  <mergeCells count="7">
    <mergeCell ref="A115:I115"/>
    <mergeCell ref="A1:I1"/>
    <mergeCell ref="A20:I20"/>
    <mergeCell ref="A39:I39"/>
    <mergeCell ref="A58:I58"/>
    <mergeCell ref="A77:I77"/>
    <mergeCell ref="A96:I9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mario castaño</dc:creator>
  <cp:lastModifiedBy>carlos mario castaño</cp:lastModifiedBy>
  <dcterms:created xsi:type="dcterms:W3CDTF">2023-12-19T04:08:54Z</dcterms:created>
  <dcterms:modified xsi:type="dcterms:W3CDTF">2023-12-19T04:11:55Z</dcterms:modified>
</cp:coreProperties>
</file>