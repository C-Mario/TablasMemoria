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fca\Desktop\"/>
    </mc:Choice>
  </mc:AlternateContent>
  <xr:revisionPtr revIDLastSave="0" documentId="8_{3362A0DD-0D34-46CB-8F98-5D308B41BE9B}" xr6:coauthVersionLast="47" xr6:coauthVersionMax="47" xr10:uidLastSave="{00000000-0000-0000-0000-000000000000}"/>
  <bookViews>
    <workbookView xWindow="-120" yWindow="-120" windowWidth="29040" windowHeight="15720" xr2:uid="{9961C7B0-B9A0-4642-B357-1698A23940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H18" i="1"/>
  <c r="G18" i="1"/>
  <c r="F18" i="1"/>
  <c r="E18" i="1"/>
  <c r="E3" i="1"/>
</calcChain>
</file>

<file path=xl/sharedStrings.xml><?xml version="1.0" encoding="utf-8"?>
<sst xmlns="http://schemas.openxmlformats.org/spreadsheetml/2006/main" count="37" uniqueCount="22">
  <si>
    <t>Tabla A2</t>
  </si>
  <si>
    <t>Código cuenta</t>
  </si>
  <si>
    <t>Cuenta / Mayor</t>
  </si>
  <si>
    <t>Código Sede</t>
  </si>
  <si>
    <t>Sede</t>
  </si>
  <si>
    <t>PASIVO</t>
  </si>
  <si>
    <t>FONDO PENSIONAL</t>
  </si>
  <si>
    <t>EDITORIAL</t>
  </si>
  <si>
    <t>SEDE TUMACO</t>
  </si>
  <si>
    <t>NIVEL NACIONAL</t>
  </si>
  <si>
    <t>SISTEMA GENERAL DE REGALIAS</t>
  </si>
  <si>
    <t>SEDE LA PAZ</t>
  </si>
  <si>
    <t>SEDE BOGOTÁ</t>
  </si>
  <si>
    <t>SEDE MEDELLÍN</t>
  </si>
  <si>
    <t>SEDE MANIZALES</t>
  </si>
  <si>
    <t>SEDE PALMIRA</t>
  </si>
  <si>
    <t>SEDE AMAZONIA</t>
  </si>
  <si>
    <t>SEDE ORINOQUIA</t>
  </si>
  <si>
    <t>SEDE CARIBE</t>
  </si>
  <si>
    <t>UNISALUD</t>
  </si>
  <si>
    <t>UNIMEDIOS</t>
  </si>
  <si>
    <t>Total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</si>
</sst>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[$$-240A]\ * #,##0.00_-;\-[$$-240A]\ * #,##0.00_-;_-[$$-240A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5" fontId="0" fillId="0" borderId="0" xfId="1" applyNumberFormat="1" applyFont="1"/>
    <xf numFmtId="0" fontId="0" fillId="2" borderId="0" xfId="0" applyFill="1"/>
    <xf numFmtId="165" fontId="0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43E9-48E9-46F8-9C2D-CAD8BC2DBFDC}">
  <dimension ref="A1:I18"/>
  <sheetViews>
    <sheetView tabSelected="1" workbookViewId="0">
      <selection activeCell="G25" sqref="G25"/>
    </sheetView>
  </sheetViews>
  <sheetFormatPr baseColWidth="10" defaultRowHeight="15" x14ac:dyDescent="0.25"/>
  <cols>
    <col min="1" max="1" width="13.5703125" bestFit="1" customWidth="1"/>
    <col min="2" max="2" width="14.7109375" bestFit="1" customWidth="1"/>
    <col min="3" max="3" width="12" bestFit="1" customWidth="1"/>
    <col min="4" max="4" width="29" bestFit="1" customWidth="1"/>
    <col min="5" max="9" width="22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>
        <v>2018</v>
      </c>
      <c r="F2" s="2">
        <v>2019</v>
      </c>
      <c r="G2" s="2">
        <v>2020</v>
      </c>
      <c r="H2" s="2">
        <v>2021</v>
      </c>
      <c r="I2" s="2">
        <v>2022</v>
      </c>
    </row>
    <row r="3" spans="1:9" x14ac:dyDescent="0.25">
      <c r="A3">
        <v>2</v>
      </c>
      <c r="B3" t="s">
        <v>5</v>
      </c>
      <c r="C3">
        <v>1003</v>
      </c>
      <c r="D3" t="s">
        <v>6</v>
      </c>
      <c r="E3" s="3">
        <f>ABS(4010286268539)</f>
        <v>4010286268539</v>
      </c>
      <c r="F3" s="3">
        <v>4031480485716</v>
      </c>
      <c r="G3" s="3">
        <v>4042393705966</v>
      </c>
      <c r="H3" s="3">
        <v>3955144415282</v>
      </c>
      <c r="I3" s="3">
        <v>4091964680380</v>
      </c>
    </row>
    <row r="4" spans="1:9" x14ac:dyDescent="0.25">
      <c r="A4">
        <v>2</v>
      </c>
      <c r="B4" t="s">
        <v>5</v>
      </c>
      <c r="C4">
        <v>1004</v>
      </c>
      <c r="D4" t="s">
        <v>7</v>
      </c>
      <c r="E4" s="3">
        <v>524604136.00999999</v>
      </c>
      <c r="F4" s="3">
        <v>555453217.00999999</v>
      </c>
      <c r="G4" s="3">
        <v>439515039.29000002</v>
      </c>
      <c r="H4" s="3">
        <v>536279675.49000001</v>
      </c>
      <c r="I4" s="3">
        <v>389815105.85000002</v>
      </c>
    </row>
    <row r="5" spans="1:9" x14ac:dyDescent="0.25">
      <c r="A5">
        <v>2</v>
      </c>
      <c r="B5" t="s">
        <v>5</v>
      </c>
      <c r="C5">
        <v>1129</v>
      </c>
      <c r="D5" t="s">
        <v>8</v>
      </c>
      <c r="E5" s="3">
        <v>1724182214</v>
      </c>
      <c r="F5" s="3">
        <v>558050404.70000005</v>
      </c>
      <c r="G5" s="3">
        <v>1291197989.5799999</v>
      </c>
      <c r="H5" s="3">
        <v>1332594399.5999999</v>
      </c>
      <c r="I5" s="3">
        <v>705146284.64999998</v>
      </c>
    </row>
    <row r="6" spans="1:9" x14ac:dyDescent="0.25">
      <c r="A6">
        <v>2</v>
      </c>
      <c r="B6" t="s">
        <v>5</v>
      </c>
      <c r="C6">
        <v>1149</v>
      </c>
      <c r="D6" t="s">
        <v>9</v>
      </c>
      <c r="E6" s="3">
        <v>10313892522.290001</v>
      </c>
      <c r="F6" s="3">
        <v>6957239872.4200001</v>
      </c>
      <c r="G6" s="3">
        <v>11590253663.42</v>
      </c>
      <c r="H6" s="3">
        <v>26895151917.330002</v>
      </c>
      <c r="I6" s="3">
        <v>15785603269.4</v>
      </c>
    </row>
    <row r="7" spans="1:9" x14ac:dyDescent="0.25">
      <c r="A7">
        <v>2</v>
      </c>
      <c r="B7" t="s">
        <v>5</v>
      </c>
      <c r="C7">
        <v>1180</v>
      </c>
      <c r="D7" t="s">
        <v>10</v>
      </c>
      <c r="E7" s="3">
        <v>1950059814.0599999</v>
      </c>
      <c r="F7" s="3">
        <v>975929168.5</v>
      </c>
      <c r="G7" s="3">
        <v>586797725.85000002</v>
      </c>
      <c r="H7" s="3">
        <v>4378883937.7200003</v>
      </c>
      <c r="I7" s="3">
        <v>5784073186.3699999</v>
      </c>
    </row>
    <row r="8" spans="1:9" x14ac:dyDescent="0.25">
      <c r="A8">
        <v>2</v>
      </c>
      <c r="B8" t="s">
        <v>5</v>
      </c>
      <c r="C8">
        <v>1249</v>
      </c>
      <c r="D8" t="s">
        <v>11</v>
      </c>
      <c r="E8" s="3">
        <v>3837728.79</v>
      </c>
      <c r="F8" s="3">
        <v>642957855.16999996</v>
      </c>
      <c r="G8" s="3">
        <v>514183227.50999999</v>
      </c>
      <c r="H8" s="3">
        <v>1069289569.21</v>
      </c>
      <c r="I8" s="3">
        <v>7427695226</v>
      </c>
    </row>
    <row r="9" spans="1:9" x14ac:dyDescent="0.25">
      <c r="A9">
        <v>2</v>
      </c>
      <c r="B9" t="s">
        <v>5</v>
      </c>
      <c r="C9">
        <v>2049</v>
      </c>
      <c r="D9" t="s">
        <v>12</v>
      </c>
      <c r="E9" s="3">
        <v>110630709694.27</v>
      </c>
      <c r="F9" s="3">
        <v>226468208685.47</v>
      </c>
      <c r="G9" s="3">
        <v>305285416653.84998</v>
      </c>
      <c r="H9" s="3">
        <v>279556700615.69</v>
      </c>
      <c r="I9" s="3">
        <v>215138101999.54999</v>
      </c>
    </row>
    <row r="10" spans="1:9" x14ac:dyDescent="0.25">
      <c r="A10">
        <v>2</v>
      </c>
      <c r="B10" t="s">
        <v>5</v>
      </c>
      <c r="C10">
        <v>3049</v>
      </c>
      <c r="D10" t="s">
        <v>13</v>
      </c>
      <c r="E10" s="3">
        <v>44409545605.800003</v>
      </c>
      <c r="F10" s="3">
        <v>49585717032.779999</v>
      </c>
      <c r="G10" s="3">
        <v>46713797079.510002</v>
      </c>
      <c r="H10" s="3">
        <v>39722964157.480003</v>
      </c>
      <c r="I10" s="3">
        <v>35627214461.230003</v>
      </c>
    </row>
    <row r="11" spans="1:9" x14ac:dyDescent="0.25">
      <c r="A11">
        <v>2</v>
      </c>
      <c r="B11" t="s">
        <v>5</v>
      </c>
      <c r="C11">
        <v>4049</v>
      </c>
      <c r="D11" t="s">
        <v>14</v>
      </c>
      <c r="E11" s="3">
        <v>8561394261.9300003</v>
      </c>
      <c r="F11" s="3">
        <v>9656642596.2099991</v>
      </c>
      <c r="G11" s="3">
        <v>11206112888.76</v>
      </c>
      <c r="H11" s="3">
        <v>10362474035.6</v>
      </c>
      <c r="I11" s="3">
        <v>10544227049.26</v>
      </c>
    </row>
    <row r="12" spans="1:9" x14ac:dyDescent="0.25">
      <c r="A12">
        <v>2</v>
      </c>
      <c r="B12" t="s">
        <v>5</v>
      </c>
      <c r="C12">
        <v>5049</v>
      </c>
      <c r="D12" t="s">
        <v>15</v>
      </c>
      <c r="E12" s="3">
        <v>7104880382.0299997</v>
      </c>
      <c r="F12" s="3">
        <v>7214666027.7399998</v>
      </c>
      <c r="G12" s="3">
        <v>6374435026.1099997</v>
      </c>
      <c r="H12" s="3">
        <v>11078787829.530001</v>
      </c>
      <c r="I12" s="3">
        <v>10580972409.41</v>
      </c>
    </row>
    <row r="13" spans="1:9" x14ac:dyDescent="0.25">
      <c r="A13">
        <v>2</v>
      </c>
      <c r="B13" t="s">
        <v>5</v>
      </c>
      <c r="C13">
        <v>6049</v>
      </c>
      <c r="D13" t="s">
        <v>16</v>
      </c>
      <c r="E13" s="3">
        <v>333541051</v>
      </c>
      <c r="F13" s="3">
        <v>591311273.91999996</v>
      </c>
      <c r="G13" s="3">
        <v>501497771.60000002</v>
      </c>
      <c r="H13" s="3">
        <v>409370908.67000002</v>
      </c>
      <c r="I13" s="3">
        <v>528803652.82999998</v>
      </c>
    </row>
    <row r="14" spans="1:9" x14ac:dyDescent="0.25">
      <c r="A14">
        <v>2</v>
      </c>
      <c r="B14" t="s">
        <v>5</v>
      </c>
      <c r="C14">
        <v>7049</v>
      </c>
      <c r="D14" t="s">
        <v>17</v>
      </c>
      <c r="E14" s="3">
        <v>162197315</v>
      </c>
      <c r="F14" s="3">
        <v>178429575</v>
      </c>
      <c r="G14" s="3">
        <v>183555694</v>
      </c>
      <c r="H14" s="3">
        <v>487681139</v>
      </c>
      <c r="I14" s="3">
        <v>243435671</v>
      </c>
    </row>
    <row r="15" spans="1:9" x14ac:dyDescent="0.25">
      <c r="A15">
        <v>2</v>
      </c>
      <c r="B15" t="s">
        <v>5</v>
      </c>
      <c r="C15">
        <v>8049</v>
      </c>
      <c r="D15" t="s">
        <v>18</v>
      </c>
      <c r="E15" s="3">
        <v>800459952.75999999</v>
      </c>
      <c r="F15" s="3">
        <v>4421884098.7700005</v>
      </c>
      <c r="G15" s="3">
        <v>2465565914.9299998</v>
      </c>
      <c r="H15" s="3">
        <v>3165791716.1500001</v>
      </c>
      <c r="I15" s="3">
        <v>4305690299.5699997</v>
      </c>
    </row>
    <row r="16" spans="1:9" x14ac:dyDescent="0.25">
      <c r="A16">
        <v>2</v>
      </c>
      <c r="B16" t="s">
        <v>5</v>
      </c>
      <c r="C16">
        <v>9094</v>
      </c>
      <c r="D16" t="s">
        <v>19</v>
      </c>
      <c r="E16" s="3">
        <v>4648032801</v>
      </c>
      <c r="F16" s="3">
        <v>4169814352.3299999</v>
      </c>
      <c r="G16" s="3">
        <v>5008096654.3299999</v>
      </c>
      <c r="H16" s="3">
        <v>4969264266.3299999</v>
      </c>
      <c r="I16" s="3">
        <v>10850523875</v>
      </c>
    </row>
    <row r="17" spans="1:9" x14ac:dyDescent="0.25">
      <c r="A17">
        <v>2</v>
      </c>
      <c r="B17" t="s">
        <v>5</v>
      </c>
      <c r="C17">
        <v>9097</v>
      </c>
      <c r="D17" t="s">
        <v>20</v>
      </c>
      <c r="E17" s="3">
        <v>18176217.82</v>
      </c>
      <c r="F17" s="3">
        <v>23489768</v>
      </c>
      <c r="G17" s="3">
        <v>23544342.23</v>
      </c>
      <c r="H17" s="3">
        <v>33288336.899999999</v>
      </c>
      <c r="I17" s="3">
        <v>14043564.720000001</v>
      </c>
    </row>
    <row r="18" spans="1:9" x14ac:dyDescent="0.25">
      <c r="A18">
        <v>2</v>
      </c>
      <c r="B18" t="s">
        <v>5</v>
      </c>
      <c r="C18">
        <v>9051</v>
      </c>
      <c r="D18" s="4" t="s">
        <v>21</v>
      </c>
      <c r="E18" s="5">
        <f>SUM(E3:E17)</f>
        <v>4201471782235.7593</v>
      </c>
      <c r="F18" s="5">
        <f>SUM(F3:F17)</f>
        <v>4343480279644.02</v>
      </c>
      <c r="G18" s="5">
        <f t="shared" ref="G18:I18" si="0">SUM(G3:G17)</f>
        <v>4434577675636.9697</v>
      </c>
      <c r="H18" s="5">
        <f t="shared" si="0"/>
        <v>4339142937786.7002</v>
      </c>
      <c r="I18" s="5">
        <f t="shared" si="0"/>
        <v>4409890026434.8398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castaño</dc:creator>
  <cp:lastModifiedBy>carlos mario castaño</cp:lastModifiedBy>
  <dcterms:created xsi:type="dcterms:W3CDTF">2023-12-27T00:56:38Z</dcterms:created>
  <dcterms:modified xsi:type="dcterms:W3CDTF">2023-12-27T00:58:34Z</dcterms:modified>
</cp:coreProperties>
</file>